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7f3b85ef6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5395d9e4de1f46ca"/>
    <x:sheet xmlns:r="http://schemas.openxmlformats.org/officeDocument/2006/relationships" name="물건프리셋" sheetId="2" r:id="R5b26c4fb32734635"/>
    <x:sheet xmlns:r="http://schemas.openxmlformats.org/officeDocument/2006/relationships" name="테스트시나리오" sheetId="3" r:id="Rf5645dcc1c5145af"/>
    <x:sheet xmlns:r="http://schemas.openxmlformats.org/officeDocument/2006/relationships" name="시나리오물건" sheetId="4" r:id="R2a39bf1b1f3b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#,##0"/>
    <x:numFmt numFmtId="202" formatCode="0.0%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67D88"/>
      <x:name val="Carlito"/>
    </x:font>
    <x:font>
      <x:b/>
      <x:sz val="11"/>
      <x:color rgb="FF14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24D"/>
      </x:patternFill>
    </x:fill>
    <x:fill>
      <x:patternFill patternType="solid">
        <x:fgColor rgb="FFE8F6F5"/>
      </x:patternFill>
    </x:fill>
    <x:fill>
      <x:patternFill patternType="solid">
        <x:fgColor rgb="FFF0F3F7"/>
      </x:patternFill>
    </x:fill>
    <x:fill>
      <x:patternFill patternType="solid">
        <x:fgColor rgb="FFFCF2D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A33A3A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963ab250c411d" /><Relationship Type="http://schemas.openxmlformats.org/officeDocument/2006/relationships/theme" Target="/xl/theme/theme1.xml" Id="R6d05411fc6854f42" /><Relationship Type="http://schemas.microsoft.com/office/2022/11/relationships/FeaturePropertyBag" Target="/xl/featurePropertyBag/featurePropertyBag.xml" Id="Rf3efc7a6568f4f46" /><Relationship Type="http://schemas.openxmlformats.org/officeDocument/2006/relationships/sharedStrings" Target="/xl/sharedStrings.xml" Id="Rc191454e9bfc4f67" /><Relationship Type="http://schemas.openxmlformats.org/officeDocument/2006/relationships/worksheet" Target="/xl/worksheets/sheet1.xml" Id="R5395d9e4de1f46ca" /><Relationship Type="http://schemas.openxmlformats.org/officeDocument/2006/relationships/worksheet" Target="/xl/worksheets/sheet2.xml" Id="R5b26c4fb32734635" /><Relationship Type="http://schemas.openxmlformats.org/officeDocument/2006/relationships/worksheet" Target="/xl/worksheets/sheet3.xml" Id="Rf5645dcc1c5145af" /><Relationship Type="http://schemas.openxmlformats.org/officeDocument/2006/relationships/worksheet" Target="/xl/worksheets/sheet4.xml" Id="R2a39bf1b1f3b4f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FitItemPresets" displayName="PackFitItemPresets" ref="A1:R75" headerRowCount="1" totalsRowCount="0" totalsRowShown="0">
  <x:tableColumns count="18">
    <x:tableColumn id="1" name="preset_id"/>
    <x:tableColumn id="2" name="name_ko"/>
    <x:tableColumn id="3" name="category"/>
    <x:tableColumn id="4" name="pack_state"/>
    <x:tableColumn id="5" name="width_cm"/>
    <x:tableColumn id="6" name="length_cm"/>
    <x:tableColumn id="7" name="height_cm"/>
    <x:tableColumn id="8" name="weight_g"/>
    <x:tableColumn id="9" name="flexible"/>
    <x:tableColumn id="10" name="fragile"/>
    <x:tableColumn id="11" name="compression_allowed"/>
    <x:tableColumn id="12" name="stackable"/>
    <x:tableColumn id="13" name="keep_upright"/>
    <x:tableColumn id="14" name="can_rotate"/>
    <x:tableColumn id="15" name="restriction_tag"/>
    <x:tableColumn id="16" name="bounding_volume_cm3"/>
    <x:tableColumn id="17" name="data_quality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FitTestScenarios" displayName="PackFitTestScenarios" ref="A1:K5" headerRowCount="1" totalsRowCount="0" totalsRowShown="0">
  <x:tableColumns count="11">
    <x:tableColumn id="1" name="scenario_id"/>
    <x:tableColumn id="2" name="name_ko"/>
    <x:tableColumn id="3" name="inner_width_cm"/>
    <x:tableColumn id="4" name="inner_length_cm"/>
    <x:tableColumn id="5" name="inner_height_cm"/>
    <x:tableColumn id="6" name="max_weight_g"/>
    <x:tableColumn id="7" name="expected_result"/>
    <x:tableColumn id="8" name="notes"/>
    <x:tableColumn id="9" name="capacity_cm3"/>
    <x:tableColumn id="10" name="items_cm3"/>
    <x:tableColumn id="11" name="volume_lower_bound_rat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FitDemoItems" displayName="PackFitDemoItems" ref="A1:K50" headerRowCount="1" totalsRowCount="0" totalsRowShown="0">
  <x:tableColumns count="11">
    <x:tableColumn id="1" name="scenario_id"/>
    <x:tableColumn id="2" name="preset_id"/>
    <x:tableColumn id="3" name="item_name"/>
    <x:tableColumn id="4" name="quantity"/>
    <x:tableColumn id="5" name="width_cm"/>
    <x:tableColumn id="6" name="length_cm"/>
    <x:tableColumn id="7" name="height_cm"/>
    <x:tableColumn id="8" name="unit_weight_g"/>
    <x:tableColumn id="9" name="unit_volume_cm3"/>
    <x:tableColumn id="10" name="total_volume_cm3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5885ca3e3f4c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db83a055c4f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2ad9e55d3446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PACK FIT | 데이터베이스 테스트 데이터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9" t="str">
        <x:v>74개 물건 프리셋 / 4개 패킹 시나리오 / 100% 가상 추정값</x:v>
      </x:c>
      <x:c r="B4" s="9"/>
      <x:c r="C4" s="9"/>
      <x:c r="D4" s="9"/>
      <x:c r="E4" s="9"/>
      <x:c r="F4" s="9"/>
      <x:c r="G4" s="9"/>
      <x:c r="H4" s="9"/>
    </x:row>
    <x:row r="6" ht="33" customHeight="1">
      <x:c r="A6" s="15" t="str">
        <x:v>핵심 목적</x:v>
      </x:c>
      <x:c r="B6" s="21" t="str">
        <x:v>3D Bin Packing 알고리즘·AI 인식 후 사용자 수정 화면을 개발하고 테스트하기 위한 샘플 자료</x:v>
      </x:c>
    </x:row>
    <x:row r="7" ht="33" customHeight="1">
      <x:c r="A7" s="15" t="str">
        <x:v>가상 데이터</x:v>
      </x:c>
      <x:c r="B7" s="21" t="str">
        <x:v>모든 값의 data_quality는 synthetic_estimate. 실제 제품 실측·공식 규격·AI 학습 정답 아님</x:v>
      </x:c>
    </x:row>
    <x:row r="8" ht="33" customHeight="1">
      <x:c r="A8" s="15" t="str">
        <x:v>치수(cm)</x:v>
      </x:c>
      <x:c r="B8" s="21" t="str">
        <x:v>가로·세로·높이는 'pack_state'에 적힌 접거나 포장한 상태의 직육면체 외접 경계값</x:v>
      </x:c>
    </x:row>
    <x:row r="9" ht="33" customHeight="1">
      <x:c r="A9" s="15" t="str">
        <x:v>무게(g)</x:v>
      </x:c>
      <x:c r="B9" s="21" t="str">
        <x:v>개당 예상 무게. 실제 측정한 데이터가 아니므로 항공 수하물 판단에 사용하지 말 것</x:v>
      </x:c>
    </x:row>
    <x:row r="10" ht="33" customHeight="1">
      <x:c r="A10" s="15" t="str">
        <x:v>부피(cm³)</x:v>
      </x:c>
      <x:c r="B10" s="21" t="str">
        <x:v>width_cm × length_cm × height_cm. 물건의 실체적 부피가 아닌 경계 상자 부피</x:v>
      </x:c>
    </x:row>
    <x:row r="11" ht="33" customHeight="1">
      <x:c r="A11" s="15" t="str">
        <x:v>AI와의 연결</x:v>
      </x:c>
      <x:c r="B11" s="21" t="str">
        <x:v>사진 AI는 물건 종류/개수를 제안하고, 크기는 프리셋을 불러온 뒤 사용자 확인을 받도록 구현</x:v>
      </x:c>
    </x:row>
    <x:row r="12" ht="33" customHeight="1">
      <x:c r="A12" s="15" t="str">
        <x:v>좌표와 회전</x:v>
      </x:c>
      <x:c r="B12" s="21" t="str">
        <x:v>3D 배치 위치는 이 데이터셋에 없음. 알고리즘이 출력하며 별도 packing_placements에 저장</x:v>
      </x:c>
    </x:row>
    <x:row r="13" ht="33" customHeight="1">
      <x:c r="A13" s="15" t="str">
        <x:v>속성 설명</x:v>
      </x:c>
      <x:c r="B13" s="21" t="str">
        <x:v>fragile=파손 주의, flexible=형태 변형, compression_allowed=사용자 확인하에 압축, keep_upright=세운 상태 유지</x:v>
      </x:c>
    </x:row>
    <x:row r="14" ht="33" customHeight="1">
      <x:c r="A14" s="15" t="str">
        <x:v>항공 정책</x:v>
      </x:c>
      <x:c r="B14" s="21" t="str">
        <x:v>restriction_tag는 확인용 알림. 실제 기내/위탁/액체/배터리 반입 기준은 항공사·노선별로 재확인</x:v>
      </x:c>
    </x:row>
    <x:row r="15" ht="33" customHeight="1">
      <x:c r="A15" s="15" t="str">
        <x:v>주의 사항</x:v>
      </x:c>
      <x:c r="B15" s="21" t="str">
        <x:v>파우치·패킹 큐브에 내용물이 포함된 경우 내용물을 별도 추가해 부피와 무게를 중복 계산하지 말 것</x:v>
      </x:c>
    </x:row>
    <x:row r="16" ht="33" customHeight="1">
      <x:c r="A16" s="15" t="str">
        <x:v>한계</x:v>
      </x:c>
      <x:c r="B16" s="21" t="str">
        <x:v>직육면체 근사·압축성·포장 방법·캐리어 내측 돌출부 때문에 실제 수납 가능성을 보장하지 않음</x:v>
      </x:c>
    </x:row>
    <x:row r="17" ht="33" customHeight="1">
      <x:c r="A17" s="15" t="str">
        <x:v>DB 가져오기</x:v>
      </x:c>
      <x:c r="B17" s="21" t="str">
        <x:v>CSV는 Supabase Table Editor로 import 가능. SQL 파일은 개발용 DB의 SQL Editor에서 실행</x:v>
      </x:c>
    </x:row>
    <x:row r="18" ht="33" customHeight="1">
      <x:c r="A18" s="15" t="str">
        <x:v>실측 교체</x:v>
      </x:c>
      <x:c r="B18" s="21" t="str">
        <x:v>실측 시 data_quality='measured'로 변경하고, 측정한 사진/기준/측정일을 별도 메타데이터로 기록</x:v>
      </x:c>
    </x:row>
    <x:row r="19" ht="33" customHeight="1">
      <x:c r="A19" s="15" t="str">
        <x:v>시나리오 의미</x:v>
      </x:c>
      <x:c r="B19" s="21" t="str">
        <x:v>S01 일반, S02 부피 초과, S03 공간 근접, S04 한 변이 길어 적재 불가능 상황을 검증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1" hidden="0" customWidth="1"/>
    <x:col min="16" max="16" width="20" hidden="0" customWidth="1"/>
    <x:col min="17" max="17" width="22" hidden="0" customWidth="1"/>
    <x:col min="18" max="18" width="45" hidden="0" customWidth="1"/>
  </x:cols>
  <x:sheetData>
    <x:row r="1" ht="30" customHeight="1">
      <x:c r="A1" s="28" t="str">
        <x:v>preset_id</x:v>
      </x:c>
      <x:c r="B1" s="28" t="str">
        <x:v>name_ko</x:v>
      </x:c>
      <x:c r="C1" s="28" t="str">
        <x:v>category</x:v>
      </x:c>
      <x:c r="D1" s="28" t="str">
        <x:v>pack_state</x:v>
      </x:c>
      <x:c r="E1" s="28" t="str">
        <x:v>width_cm</x:v>
      </x:c>
      <x:c r="F1" s="28" t="str">
        <x:v>length_cm</x:v>
      </x:c>
      <x:c r="G1" s="28" t="str">
        <x:v>height_cm</x:v>
      </x:c>
      <x:c r="H1" s="28" t="str">
        <x:v>weight_g</x:v>
      </x:c>
      <x:c r="I1" s="28" t="str">
        <x:v>flexible</x:v>
      </x:c>
      <x:c r="J1" s="28" t="str">
        <x:v>fragile</x:v>
      </x:c>
      <x:c r="K1" s="28" t="str">
        <x:v>compression_allowed</x:v>
      </x:c>
      <x:c r="L1" s="28" t="str">
        <x:v>stackable</x:v>
      </x:c>
      <x:c r="M1" s="28" t="str">
        <x:v>keep_upright</x:v>
      </x:c>
      <x:c r="N1" s="28" t="str">
        <x:v>can_rotate</x:v>
      </x:c>
      <x:c r="O1" s="28" t="str">
        <x:v>restriction_tag</x:v>
      </x:c>
      <x:c r="P1" s="28" t="str">
        <x:v>bounding_volume_cm3</x:v>
      </x:c>
      <x:c r="Q1" s="28" t="str">
        <x:v>data_quality</x:v>
      </x:c>
      <x:c r="R1" s="28" t="str">
        <x:v>notes</x:v>
      </x:c>
    </x:row>
    <x:row r="2" ht="23" customHeight="1">
      <x:c r="A2" t="str">
        <x:v>PRESET_001</x:v>
      </x:c>
      <x:c r="B2" t="str">
        <x:v>티셔츠</x:v>
      </x:c>
      <x:c r="C2" t="str">
        <x:v>clothing</x:v>
      </x:c>
      <x:c r="D2" t="str">
        <x:v>접은 상태</x:v>
      </x:c>
      <x:c r="E2" s="32" t="n">
        <x:v>25</x:v>
      </x:c>
      <x:c r="F2" s="32" t="n">
        <x:v>20</x:v>
      </x:c>
      <x:c r="G2" s="32" t="n">
        <x:v>3</x:v>
      </x:c>
      <x:c r="H2" s="32" t="n">
        <x:v>200</x:v>
      </x:c>
      <x:c r="I2" s="22" t="b">
        <x:v>1</x:v>
      </x:c>
      <x:c r="J2" s="22" t="b">
        <x:v>0</x:v>
      </x:c>
      <x:c r="K2" s="22" t="b">
        <x:v>1</x:v>
      </x:c>
      <x:c r="L2" s="22" t="b">
        <x:v>1</x:v>
      </x:c>
      <x:c r="M2" s="22" t="b">
        <x:v>0</x:v>
      </x:c>
      <x:c r="N2" s="22" t="b">
        <x:v>1</x:v>
      </x:c>
      <x:c r="O2" t="str">
        <x:v>none</x:v>
      </x:c>
      <x:c r="P2" s="34" t="n">
        <x:f>E2*F2*G2</x:f>
        <x:v>1500</x:v>
      </x:c>
      <x:c r="Q2" s="36" t="str">
        <x:v>synthetic_estimate</x:v>
      </x:c>
      <x:c r="R2" s="20" t="str">
        <x:v>얇게 접은 성인용 상의</x:v>
      </x:c>
    </x:row>
    <x:row r="3" ht="23" customHeight="1">
      <x:c r="A3" t="str">
        <x:v>PRESET_002</x:v>
      </x:c>
      <x:c r="B3" t="str">
        <x:v>긴팔 티셔츠</x:v>
      </x:c>
      <x:c r="C3" t="str">
        <x:v>clothing</x:v>
      </x:c>
      <x:c r="D3" t="str">
        <x:v>접은 상태</x:v>
      </x:c>
      <x:c r="E3" s="32" t="n">
        <x:v>27</x:v>
      </x:c>
      <x:c r="F3" s="32" t="n">
        <x:v>21</x:v>
      </x:c>
      <x:c r="G3" s="32" t="n">
        <x:v>4</x:v>
      </x:c>
      <x:c r="H3" s="32" t="n">
        <x:v>270</x:v>
      </x:c>
      <x:c r="I3" s="22" t="b">
        <x:v>1</x:v>
      </x:c>
      <x:c r="J3" s="22" t="b">
        <x:v>0</x:v>
      </x:c>
      <x:c r="K3" s="22" t="b">
        <x:v>1</x:v>
      </x:c>
      <x:c r="L3" s="22" t="b">
        <x:v>1</x:v>
      </x:c>
      <x:c r="M3" s="22" t="b">
        <x:v>0</x:v>
      </x:c>
      <x:c r="N3" s="22" t="b">
        <x:v>1</x:v>
      </x:c>
      <x:c r="O3" t="str">
        <x:v>none</x:v>
      </x:c>
      <x:c r="P3" s="34" t="n">
        <x:f>E3*F3*G3</x:f>
        <x:v>2268</x:v>
      </x:c>
      <x:c r="Q3" s="36" t="str">
        <x:v>synthetic_estimate</x:v>
      </x:c>
      <x:c r="R3" s="20" t="str">
        <x:v>소재별로 두께 차이 큼</x:v>
      </x:c>
    </x:row>
    <x:row r="4" ht="23" customHeight="1">
      <x:c r="A4" t="str">
        <x:v>PRESET_003</x:v>
      </x:c>
      <x:c r="B4" t="str">
        <x:v>셔츠</x:v>
      </x:c>
      <x:c r="C4" t="str">
        <x:v>clothing</x:v>
      </x:c>
      <x:c r="D4" t="str">
        <x:v>접은 상태</x:v>
      </x:c>
      <x:c r="E4" s="32" t="n">
        <x:v>28</x:v>
      </x:c>
      <x:c r="F4" s="32" t="n">
        <x:v>22</x:v>
      </x:c>
      <x:c r="G4" s="32" t="n">
        <x:v>3</x:v>
      </x:c>
      <x:c r="H4" s="32" t="n">
        <x:v>240</x:v>
      </x:c>
      <x:c r="I4" s="22" t="b">
        <x:v>1</x:v>
      </x:c>
      <x:c r="J4" s="22" t="b">
        <x:v>0</x:v>
      </x:c>
      <x:c r="K4" s="22" t="b">
        <x:v>0</x:v>
      </x:c>
      <x:c r="L4" s="22" t="b">
        <x:v>1</x:v>
      </x:c>
      <x:c r="M4" s="22" t="b">
        <x:v>0</x:v>
      </x:c>
      <x:c r="N4" s="22" t="b">
        <x:v>1</x:v>
      </x:c>
      <x:c r="O4" t="str">
        <x:v>none</x:v>
      </x:c>
      <x:c r="P4" s="34" t="n">
        <x:f>E4*F4*G4</x:f>
        <x:v>1848</x:v>
      </x:c>
      <x:c r="Q4" s="36" t="str">
        <x:v>synthetic_estimate</x:v>
      </x:c>
      <x:c r="R4" s="20" t="str">
        <x:v>구김을 고려해 과압축 지양</x:v>
      </x:c>
    </x:row>
    <x:row r="5" ht="23" customHeight="1">
      <x:c r="A5" t="str">
        <x:v>PRESET_004</x:v>
      </x:c>
      <x:c r="B5" t="str">
        <x:v>니트</x:v>
      </x:c>
      <x:c r="C5" t="str">
        <x:v>clothing</x:v>
      </x:c>
      <x:c r="D5" t="str">
        <x:v>접은 상태</x:v>
      </x:c>
      <x:c r="E5" s="32" t="n">
        <x:v>30</x:v>
      </x:c>
      <x:c r="F5" s="32" t="n">
        <x:v>25</x:v>
      </x:c>
      <x:c r="G5" s="32" t="n">
        <x:v>7</x:v>
      </x:c>
      <x:c r="H5" s="32" t="n">
        <x:v>500</x:v>
      </x:c>
      <x:c r="I5" s="22" t="b">
        <x:v>1</x:v>
      </x:c>
      <x:c r="J5" s="22" t="b">
        <x:v>0</x:v>
      </x:c>
      <x:c r="K5" s="22" t="b">
        <x:v>1</x:v>
      </x:c>
      <x:c r="L5" s="22" t="b">
        <x:v>1</x:v>
      </x:c>
      <x:c r="M5" s="22" t="b">
        <x:v>0</x:v>
      </x:c>
      <x:c r="N5" s="22" t="b">
        <x:v>1</x:v>
      </x:c>
      <x:c r="O5" t="str">
        <x:v>none</x:v>
      </x:c>
      <x:c r="P5" s="34" t="n">
        <x:f>E5*F5*G5</x:f>
        <x:v>5250</x:v>
      </x:c>
      <x:c r="Q5" s="36" t="str">
        <x:v>synthetic_estimate</x:v>
      </x:c>
      <x:c r="R5" s="20" t="str">
        <x:v>접는 방식에 따라 높이 변화</x:v>
      </x:c>
    </x:row>
    <x:row r="6" ht="23" customHeight="1">
      <x:c r="A6" t="str">
        <x:v>PRESET_005</x:v>
      </x:c>
      <x:c r="B6" t="str">
        <x:v>청바지</x:v>
      </x:c>
      <x:c r="C6" t="str">
        <x:v>clothing</x:v>
      </x:c>
      <x:c r="D6" t="str">
        <x:v>접은 상태</x:v>
      </x:c>
      <x:c r="E6" s="32" t="n">
        <x:v>30</x:v>
      </x:c>
      <x:c r="F6" s="32" t="n">
        <x:v>25</x:v>
      </x:c>
      <x:c r="G6" s="32" t="n">
        <x:v>6</x:v>
      </x:c>
      <x:c r="H6" s="32" t="n">
        <x:v>750</x:v>
      </x:c>
      <x:c r="I6" s="22" t="b">
        <x:v>1</x:v>
      </x:c>
      <x:c r="J6" s="22" t="b">
        <x:v>0</x:v>
      </x:c>
      <x:c r="K6" s="22" t="b">
        <x:v>1</x:v>
      </x:c>
      <x:c r="L6" s="22" t="b">
        <x:v>1</x:v>
      </x:c>
      <x:c r="M6" s="22" t="b">
        <x:v>0</x:v>
      </x:c>
      <x:c r="N6" s="22" t="b">
        <x:v>1</x:v>
      </x:c>
      <x:c r="O6" t="str">
        <x:v>none</x:v>
      </x:c>
      <x:c r="P6" s="34" t="n">
        <x:f>E6*F6*G6</x:f>
        <x:v>4500</x:v>
      </x:c>
      <x:c r="Q6" s="36" t="str">
        <x:v>synthetic_estimate</x:v>
      </x:c>
      <x:c r="R6" s="20" t="str">
        <x:v>두꺼운 데님 바지</x:v>
      </x:c>
    </x:row>
    <x:row r="7" ht="23" customHeight="1">
      <x:c r="A7" t="str">
        <x:v>PRESET_006</x:v>
      </x:c>
      <x:c r="B7" t="str">
        <x:v>면바지</x:v>
      </x:c>
      <x:c r="C7" t="str">
        <x:v>clothing</x:v>
      </x:c>
      <x:c r="D7" t="str">
        <x:v>접은 상태</x:v>
      </x:c>
      <x:c r="E7" s="32" t="n">
        <x:v>30</x:v>
      </x:c>
      <x:c r="F7" s="32" t="n">
        <x:v>24</x:v>
      </x:c>
      <x:c r="G7" s="32" t="n">
        <x:v>5</x:v>
      </x:c>
      <x:c r="H7" s="32" t="n">
        <x:v>500</x:v>
      </x:c>
      <x:c r="I7" s="22" t="b">
        <x:v>1</x:v>
      </x:c>
      <x:c r="J7" s="22" t="b">
        <x:v>0</x:v>
      </x:c>
      <x:c r="K7" s="22" t="b">
        <x:v>1</x:v>
      </x:c>
      <x:c r="L7" s="22" t="b">
        <x:v>1</x:v>
      </x:c>
      <x:c r="M7" s="22" t="b">
        <x:v>0</x:v>
      </x:c>
      <x:c r="N7" s="22" t="b">
        <x:v>1</x:v>
      </x:c>
      <x:c r="O7" t="str">
        <x:v>none</x:v>
      </x:c>
      <x:c r="P7" s="34" t="n">
        <x:f>E7*F7*G7</x:f>
        <x:v>3600</x:v>
      </x:c>
      <x:c r="Q7" s="36" t="str">
        <x:v>synthetic_estimate</x:v>
      </x:c>
      <x:c r="R7" s="20" t="str">
        <x:v>일반 긴 바지</x:v>
      </x:c>
    </x:row>
    <x:row r="8" ht="23" customHeight="1">
      <x:c r="A8" t="str">
        <x:v>PRESET_007</x:v>
      </x:c>
      <x:c r="B8" t="str">
        <x:v>반바지</x:v>
      </x:c>
      <x:c r="C8" t="str">
        <x:v>clothing</x:v>
      </x:c>
      <x:c r="D8" t="str">
        <x:v>접은 상태</x:v>
      </x:c>
      <x:c r="E8" s="32" t="n">
        <x:v>25</x:v>
      </x:c>
      <x:c r="F8" s="32" t="n">
        <x:v>20</x:v>
      </x:c>
      <x:c r="G8" s="32" t="n">
        <x:v>4</x:v>
      </x:c>
      <x:c r="H8" s="32" t="n">
        <x:v>250</x:v>
      </x:c>
      <x:c r="I8" s="22" t="b">
        <x:v>1</x:v>
      </x:c>
      <x:c r="J8" s="22" t="b">
        <x:v>0</x:v>
      </x:c>
      <x:c r="K8" s="22" t="b">
        <x:v>1</x:v>
      </x:c>
      <x:c r="L8" s="22" t="b">
        <x:v>1</x:v>
      </x:c>
      <x:c r="M8" s="22" t="b">
        <x:v>0</x:v>
      </x:c>
      <x:c r="N8" s="22" t="b">
        <x:v>1</x:v>
      </x:c>
      <x:c r="O8" t="str">
        <x:v>none</x:v>
      </x:c>
      <x:c r="P8" s="34" t="n">
        <x:f>E8*F8*G8</x:f>
        <x:v>2000</x:v>
      </x:c>
      <x:c r="Q8" s="36" t="str">
        <x:v>synthetic_estimate</x:v>
      </x:c>
      <x:c r="R8" s="20" t="str">
        <x:v>면 반바지</x:v>
      </x:c>
    </x:row>
    <x:row r="9" ht="23" customHeight="1">
      <x:c r="A9" t="str">
        <x:v>PRESET_008</x:v>
      </x:c>
      <x:c r="B9" t="str">
        <x:v>운동복 상의</x:v>
      </x:c>
      <x:c r="C9" t="str">
        <x:v>clothing</x:v>
      </x:c>
      <x:c r="D9" t="str">
        <x:v>접은 상태</x:v>
      </x:c>
      <x:c r="E9" s="32" t="n">
        <x:v>25</x:v>
      </x:c>
      <x:c r="F9" s="32" t="n">
        <x:v>18</x:v>
      </x:c>
      <x:c r="G9" s="32" t="n">
        <x:v>3</x:v>
      </x:c>
      <x:c r="H9" s="32" t="n">
        <x:v>180</x:v>
      </x:c>
      <x:c r="I9" s="22" t="b">
        <x:v>1</x:v>
      </x:c>
      <x:c r="J9" s="22" t="b">
        <x:v>0</x:v>
      </x:c>
      <x:c r="K9" s="22" t="b">
        <x:v>1</x:v>
      </x:c>
      <x:c r="L9" s="22" t="b">
        <x:v>1</x:v>
      </x:c>
      <x:c r="M9" s="22" t="b">
        <x:v>0</x:v>
      </x:c>
      <x:c r="N9" s="22" t="b">
        <x:v>1</x:v>
      </x:c>
      <x:c r="O9" t="str">
        <x:v>none</x:v>
      </x:c>
      <x:c r="P9" s="34" t="n">
        <x:f>E9*F9*G9</x:f>
        <x:v>1350</x:v>
      </x:c>
      <x:c r="Q9" s="36" t="str">
        <x:v>synthetic_estimate</x:v>
      </x:c>
      <x:c r="R9" s="20" t="str">
        <x:v>가벼운 운동복</x:v>
      </x:c>
    </x:row>
    <x:row r="10" ht="23" customHeight="1">
      <x:c r="A10" t="str">
        <x:v>PRESET_009</x:v>
      </x:c>
      <x:c r="B10" t="str">
        <x:v>운동복 하의</x:v>
      </x:c>
      <x:c r="C10" t="str">
        <x:v>clothing</x:v>
      </x:c>
      <x:c r="D10" t="str">
        <x:v>접은 상태</x:v>
      </x:c>
      <x:c r="E10" s="32" t="n">
        <x:v>25</x:v>
      </x:c>
      <x:c r="F10" s="32" t="n">
        <x:v>20</x:v>
      </x:c>
      <x:c r="G10" s="32" t="n">
        <x:v>4</x:v>
      </x:c>
      <x:c r="H10" s="32" t="n">
        <x:v>250</x:v>
      </x:c>
      <x:c r="I10" s="22" t="b">
        <x:v>1</x:v>
      </x:c>
      <x:c r="J10" s="22" t="b">
        <x:v>0</x:v>
      </x:c>
      <x:c r="K10" s="22" t="b">
        <x:v>1</x:v>
      </x:c>
      <x:c r="L10" s="22" t="b">
        <x:v>1</x:v>
      </x:c>
      <x:c r="M10" s="22" t="b">
        <x:v>0</x:v>
      </x:c>
      <x:c r="N10" s="22" t="b">
        <x:v>1</x:v>
      </x:c>
      <x:c r="O10" t="str">
        <x:v>none</x:v>
      </x:c>
      <x:c r="P10" s="34" t="n">
        <x:f>E10*F10*G10</x:f>
        <x:v>2000</x:v>
      </x:c>
      <x:c r="Q10" s="36" t="str">
        <x:v>synthetic_estimate</x:v>
      </x:c>
      <x:c r="R10" s="20" t="str">
        <x:v>트레이닝 바지</x:v>
      </x:c>
    </x:row>
    <x:row r="11" ht="23" customHeight="1">
      <x:c r="A11" t="str">
        <x:v>PRESET_010</x:v>
      </x:c>
      <x:c r="B11" t="str">
        <x:v>레깅스</x:v>
      </x:c>
      <x:c r="C11" t="str">
        <x:v>clothing</x:v>
      </x:c>
      <x:c r="D11" t="str">
        <x:v>접은 상태</x:v>
      </x:c>
      <x:c r="E11" s="32" t="n">
        <x:v>22</x:v>
      </x:c>
      <x:c r="F11" s="32" t="n">
        <x:v>15</x:v>
      </x:c>
      <x:c r="G11" s="32" t="n">
        <x:v>3</x:v>
      </x:c>
      <x:c r="H11" s="32" t="n">
        <x:v>150</x:v>
      </x:c>
      <x:c r="I11" s="22" t="b">
        <x:v>1</x:v>
      </x:c>
      <x:c r="J11" s="22" t="b">
        <x:v>0</x:v>
      </x:c>
      <x:c r="K11" s="22" t="b">
        <x:v>1</x:v>
      </x:c>
      <x:c r="L11" s="22" t="b">
        <x:v>1</x:v>
      </x:c>
      <x:c r="M11" s="22" t="b">
        <x:v>0</x:v>
      </x:c>
      <x:c r="N11" s="22" t="b">
        <x:v>1</x:v>
      </x:c>
      <x:c r="O11" t="str">
        <x:v>none</x:v>
      </x:c>
      <x:c r="P11" s="34" t="n">
        <x:f>E11*F11*G11</x:f>
        <x:v>990</x:v>
      </x:c>
      <x:c r="Q11" s="36" t="str">
        <x:v>synthetic_estimate</x:v>
      </x:c>
      <x:c r="R11" s="20" t="str">
        <x:v>얇은 운동용</x:v>
      </x:c>
    </x:row>
    <x:row r="12" ht="23" customHeight="1">
      <x:c r="A12" t="str">
        <x:v>PRESET_011</x:v>
      </x:c>
      <x:c r="B12" t="str">
        <x:v>후드티</x:v>
      </x:c>
      <x:c r="C12" t="str">
        <x:v>clothing</x:v>
      </x:c>
      <x:c r="D12" t="str">
        <x:v>접은 상태</x:v>
      </x:c>
      <x:c r="E12" s="32" t="n">
        <x:v>32</x:v>
      </x:c>
      <x:c r="F12" s="32" t="n">
        <x:v>28</x:v>
      </x:c>
      <x:c r="G12" s="32" t="n">
        <x:v>9</x:v>
      </x:c>
      <x:c r="H12" s="32" t="n">
        <x:v>750</x:v>
      </x:c>
      <x:c r="I12" s="22" t="b">
        <x:v>1</x:v>
      </x:c>
      <x:c r="J12" s="22" t="b">
        <x:v>0</x:v>
      </x:c>
      <x:c r="K12" s="22" t="b">
        <x:v>1</x:v>
      </x:c>
      <x:c r="L12" s="22" t="b">
        <x:v>1</x:v>
      </x:c>
      <x:c r="M12" s="22" t="b">
        <x:v>0</x:v>
      </x:c>
      <x:c r="N12" s="22" t="b">
        <x:v>1</x:v>
      </x:c>
      <x:c r="O12" t="str">
        <x:v>none</x:v>
      </x:c>
      <x:c r="P12" s="34" t="n">
        <x:f>E12*F12*G12</x:f>
        <x:v>8064</x:v>
      </x:c>
      <x:c r="Q12" s="36" t="str">
        <x:v>synthetic_estimate</x:v>
      </x:c>
      <x:c r="R12" s="20" t="str">
        <x:v>두꺼운 후드</x:v>
      </x:c>
    </x:row>
    <x:row r="13" ht="23" customHeight="1">
      <x:c r="A13" t="str">
        <x:v>PRESET_012</x:v>
      </x:c>
      <x:c r="B13" t="str">
        <x:v>맨투맨</x:v>
      </x:c>
      <x:c r="C13" t="str">
        <x:v>clothing</x:v>
      </x:c>
      <x:c r="D13" t="str">
        <x:v>접은 상태</x:v>
      </x:c>
      <x:c r="E13" s="32" t="n">
        <x:v>30</x:v>
      </x:c>
      <x:c r="F13" s="32" t="n">
        <x:v>26</x:v>
      </x:c>
      <x:c r="G13" s="32" t="n">
        <x:v>7</x:v>
      </x:c>
      <x:c r="H13" s="32" t="n">
        <x:v>550</x:v>
      </x:c>
      <x:c r="I13" s="22" t="b">
        <x:v>1</x:v>
      </x:c>
      <x:c r="J13" s="22" t="b">
        <x:v>0</x:v>
      </x:c>
      <x:c r="K13" s="22" t="b">
        <x:v>1</x:v>
      </x:c>
      <x:c r="L13" s="22" t="b">
        <x:v>1</x:v>
      </x:c>
      <x:c r="M13" s="22" t="b">
        <x:v>0</x:v>
      </x:c>
      <x:c r="N13" s="22" t="b">
        <x:v>1</x:v>
      </x:c>
      <x:c r="O13" t="str">
        <x:v>none</x:v>
      </x:c>
      <x:c r="P13" s="34" t="n">
        <x:f>E13*F13*G13</x:f>
        <x:v>5460</x:v>
      </x:c>
      <x:c r="Q13" s="36" t="str">
        <x:v>synthetic_estimate</x:v>
      </x:c>
      <x:c r="R13" s="20" t="str">
        <x:v>기모 여부에 따라 다름</x:v>
      </x:c>
    </x:row>
    <x:row r="14" ht="23" customHeight="1">
      <x:c r="A14" t="str">
        <x:v>PRESET_013</x:v>
      </x:c>
      <x:c r="B14" t="str">
        <x:v>경량 패딩</x:v>
      </x:c>
      <x:c r="C14" t="str">
        <x:v>clothing</x:v>
      </x:c>
      <x:c r="D14" t="str">
        <x:v>접은 상태</x:v>
      </x:c>
      <x:c r="E14" s="32" t="n">
        <x:v>34</x:v>
      </x:c>
      <x:c r="F14" s="32" t="n">
        <x:v>27</x:v>
      </x:c>
      <x:c r="G14" s="32" t="n">
        <x:v>12</x:v>
      </x:c>
      <x:c r="H14" s="32" t="n">
        <x:v>700</x:v>
      </x:c>
      <x:c r="I14" s="22" t="b">
        <x:v>1</x:v>
      </x:c>
      <x:c r="J14" s="22" t="b">
        <x:v>0</x:v>
      </x:c>
      <x:c r="K14" s="22" t="b">
        <x:v>1</x:v>
      </x:c>
      <x:c r="L14" s="22" t="b">
        <x:v>1</x:v>
      </x:c>
      <x:c r="M14" s="22" t="b">
        <x:v>0</x:v>
      </x:c>
      <x:c r="N14" s="22" t="b">
        <x:v>1</x:v>
      </x:c>
      <x:c r="O14" t="str">
        <x:v>none</x:v>
      </x:c>
      <x:c r="P14" s="34" t="n">
        <x:f>E14*F14*G14</x:f>
        <x:v>11016</x:v>
      </x:c>
      <x:c r="Q14" s="36" t="str">
        <x:v>synthetic_estimate</x:v>
      </x:c>
      <x:c r="R14" s="20" t="str">
        <x:v>압축 후 더 작아질 수 있음</x:v>
      </x:c>
    </x:row>
    <x:row r="15" ht="23" customHeight="1">
      <x:c r="A15" t="str">
        <x:v>PRESET_014</x:v>
      </x:c>
      <x:c r="B15" t="str">
        <x:v>재킷</x:v>
      </x:c>
      <x:c r="C15" t="str">
        <x:v>clothing</x:v>
      </x:c>
      <x:c r="D15" t="str">
        <x:v>접은 상태</x:v>
      </x:c>
      <x:c r="E15" s="32" t="n">
        <x:v>36</x:v>
      </x:c>
      <x:c r="F15" s="32" t="n">
        <x:v>28</x:v>
      </x:c>
      <x:c r="G15" s="32" t="n">
        <x:v>10</x:v>
      </x:c>
      <x:c r="H15" s="32" t="n">
        <x:v>850</x:v>
      </x:c>
      <x:c r="I15" s="22" t="b">
        <x:v>1</x:v>
      </x:c>
      <x:c r="J15" s="22" t="b">
        <x:v>0</x:v>
      </x:c>
      <x:c r="K15" s="22" t="b">
        <x:v>0</x:v>
      </x:c>
      <x:c r="L15" s="22" t="b">
        <x:v>0</x:v>
      </x:c>
      <x:c r="M15" s="22" t="b">
        <x:v>0</x:v>
      </x:c>
      <x:c r="N15" s="22" t="b">
        <x:v>1</x:v>
      </x:c>
      <x:c r="O15" t="str">
        <x:v>none</x:v>
      </x:c>
      <x:c r="P15" s="34" t="n">
        <x:f>E15*F15*G15</x:f>
        <x:v>10080</x:v>
      </x:c>
      <x:c r="Q15" s="36" t="str">
        <x:v>synthetic_estimate</x:v>
      </x:c>
      <x:c r="R15" s="20" t="str">
        <x:v>구김 주의</x:v>
      </x:c>
    </x:row>
    <x:row r="16" ht="23" customHeight="1">
      <x:c r="A16" t="str">
        <x:v>PRESET_015</x:v>
      </x:c>
      <x:c r="B16" t="str">
        <x:v>원피스</x:v>
      </x:c>
      <x:c r="C16" t="str">
        <x:v>clothing</x:v>
      </x:c>
      <x:c r="D16" t="str">
        <x:v>접은 상태</x:v>
      </x:c>
      <x:c r="E16" s="32" t="n">
        <x:v>32</x:v>
      </x:c>
      <x:c r="F16" s="32" t="n">
        <x:v>22</x:v>
      </x:c>
      <x:c r="G16" s="32" t="n">
        <x:v>5</x:v>
      </x:c>
      <x:c r="H16" s="32" t="n">
        <x:v>400</x:v>
      </x:c>
      <x:c r="I16" s="22" t="b">
        <x:v>1</x:v>
      </x:c>
      <x:c r="J16" s="22" t="b">
        <x:v>0</x:v>
      </x:c>
      <x:c r="K16" s="22" t="b">
        <x:v>0</x:v>
      </x:c>
      <x:c r="L16" s="22" t="b">
        <x:v>1</x:v>
      </x:c>
      <x:c r="M16" s="22" t="b">
        <x:v>0</x:v>
      </x:c>
      <x:c r="N16" s="22" t="b">
        <x:v>1</x:v>
      </x:c>
      <x:c r="O16" t="str">
        <x:v>none</x:v>
      </x:c>
      <x:c r="P16" s="34" t="n">
        <x:f>E16*F16*G16</x:f>
        <x:v>3520</x:v>
      </x:c>
      <x:c r="Q16" s="36" t="str">
        <x:v>synthetic_estimate</x:v>
      </x:c>
      <x:c r="R16" s="20" t="str">
        <x:v>소재별 구김 차이</x:v>
      </x:c>
    </x:row>
    <x:row r="17" ht="23" customHeight="1">
      <x:c r="A17" t="str">
        <x:v>PRESET_016</x:v>
      </x:c>
      <x:c r="B17" t="str">
        <x:v>잠옷 세트</x:v>
      </x:c>
      <x:c r="C17" t="str">
        <x:v>clothing</x:v>
      </x:c>
      <x:c r="D17" t="str">
        <x:v>접은 상태</x:v>
      </x:c>
      <x:c r="E17" s="32" t="n">
        <x:v>27</x:v>
      </x:c>
      <x:c r="F17" s="32" t="n">
        <x:v>23</x:v>
      </x:c>
      <x:c r="G17" s="32" t="n">
        <x:v>5</x:v>
      </x:c>
      <x:c r="H17" s="32" t="n">
        <x:v>380</x:v>
      </x:c>
      <x:c r="I17" s="22" t="b">
        <x:v>1</x:v>
      </x:c>
      <x:c r="J17" s="22" t="b">
        <x:v>0</x:v>
      </x:c>
      <x:c r="K17" s="22" t="b">
        <x:v>1</x:v>
      </x:c>
      <x:c r="L17" s="22" t="b">
        <x:v>1</x:v>
      </x:c>
      <x:c r="M17" s="22" t="b">
        <x:v>0</x:v>
      </x:c>
      <x:c r="N17" s="22" t="b">
        <x:v>1</x:v>
      </x:c>
      <x:c r="O17" t="str">
        <x:v>none</x:v>
      </x:c>
      <x:c r="P17" s="34" t="n">
        <x:f>E17*F17*G17</x:f>
        <x:v>3105</x:v>
      </x:c>
      <x:c r="Q17" s="36" t="str">
        <x:v>synthetic_estimate</x:v>
      </x:c>
      <x:c r="R17" s="20" t="str">
        <x:v>상하의 합산</x:v>
      </x:c>
    </x:row>
    <x:row r="18" ht="23" customHeight="1">
      <x:c r="A18" t="str">
        <x:v>PRESET_017</x:v>
      </x:c>
      <x:c r="B18" t="str">
        <x:v>속옷 1개</x:v>
      </x:c>
      <x:c r="C18" t="str">
        <x:v>clothing</x:v>
      </x:c>
      <x:c r="D18" t="str">
        <x:v>접은 상태</x:v>
      </x:c>
      <x:c r="E18" s="32" t="n">
        <x:v>15</x:v>
      </x:c>
      <x:c r="F18" s="32" t="n">
        <x:v>12</x:v>
      </x:c>
      <x:c r="G18" s="32" t="n">
        <x:v>2</x:v>
      </x:c>
      <x:c r="H18" s="32" t="n">
        <x:v>70</x:v>
      </x:c>
      <x:c r="I18" s="22" t="b">
        <x:v>1</x:v>
      </x:c>
      <x:c r="J18" s="22" t="b">
        <x:v>0</x:v>
      </x:c>
      <x:c r="K18" s="22" t="b">
        <x:v>1</x:v>
      </x:c>
      <x:c r="L18" s="22" t="b">
        <x:v>1</x:v>
      </x:c>
      <x:c r="M18" s="22" t="b">
        <x:v>0</x:v>
      </x:c>
      <x:c r="N18" s="22" t="b">
        <x:v>1</x:v>
      </x:c>
      <x:c r="O18" t="str">
        <x:v>none</x:v>
      </x:c>
      <x:c r="P18" s="34" t="n">
        <x:f>E18*F18*G18</x:f>
        <x:v>360</x:v>
      </x:c>
      <x:c r="Q18" s="36" t="str">
        <x:v>synthetic_estimate</x:v>
      </x:c>
      <x:c r="R18" s="20" t="str">
        <x:v>한 벌 기준</x:v>
      </x:c>
    </x:row>
    <x:row r="19" ht="23" customHeight="1">
      <x:c r="A19" t="str">
        <x:v>PRESET_018</x:v>
      </x:c>
      <x:c r="B19" t="str">
        <x:v>양말 1켤레</x:v>
      </x:c>
      <x:c r="C19" t="str">
        <x:v>clothing</x:v>
      </x:c>
      <x:c r="D19" t="str">
        <x:v>말은 상태</x:v>
      </x:c>
      <x:c r="E19" s="32" t="n">
        <x:v>12</x:v>
      </x:c>
      <x:c r="F19" s="32" t="n">
        <x:v>9</x:v>
      </x:c>
      <x:c r="G19" s="32" t="n">
        <x:v>4</x:v>
      </x:c>
      <x:c r="H19" s="32" t="n">
        <x:v>60</x:v>
      </x:c>
      <x:c r="I19" s="22" t="b">
        <x:v>1</x:v>
      </x:c>
      <x:c r="J19" s="22" t="b">
        <x:v>0</x:v>
      </x:c>
      <x:c r="K19" s="22" t="b">
        <x:v>1</x:v>
      </x:c>
      <x:c r="L19" s="22" t="b">
        <x:v>1</x:v>
      </x:c>
      <x:c r="M19" s="22" t="b">
        <x:v>0</x:v>
      </x:c>
      <x:c r="N19" s="22" t="b">
        <x:v>1</x:v>
      </x:c>
      <x:c r="O19" t="str">
        <x:v>none</x:v>
      </x:c>
      <x:c r="P19" s="34" t="n">
        <x:f>E19*F19*G19</x:f>
        <x:v>432</x:v>
      </x:c>
      <x:c r="Q19" s="36" t="str">
        <x:v>synthetic_estimate</x:v>
      </x:c>
      <x:c r="R19" s="20" t="str">
        <x:v>한 켤레 기준</x:v>
      </x:c>
    </x:row>
    <x:row r="20" ht="23" customHeight="1">
      <x:c r="A20" t="str">
        <x:v>PRESET_019</x:v>
      </x:c>
      <x:c r="B20" t="str">
        <x:v>수영복</x:v>
      </x:c>
      <x:c r="C20" t="str">
        <x:v>clothing</x:v>
      </x:c>
      <x:c r="D20" t="str">
        <x:v>접은 상태</x:v>
      </x:c>
      <x:c r="E20" s="32" t="n">
        <x:v>20</x:v>
      </x:c>
      <x:c r="F20" s="32" t="n">
        <x:v>15</x:v>
      </x:c>
      <x:c r="G20" s="32" t="n">
        <x:v>2</x:v>
      </x:c>
      <x:c r="H20" s="32" t="n">
        <x:v>110</x:v>
      </x:c>
      <x:c r="I20" s="22" t="b">
        <x:v>1</x:v>
      </x:c>
      <x:c r="J20" s="22" t="b">
        <x:v>0</x:v>
      </x:c>
      <x:c r="K20" s="22" t="b">
        <x:v>1</x:v>
      </x:c>
      <x:c r="L20" s="22" t="b">
        <x:v>1</x:v>
      </x:c>
      <x:c r="M20" s="22" t="b">
        <x:v>0</x:v>
      </x:c>
      <x:c r="N20" s="22" t="b">
        <x:v>1</x:v>
      </x:c>
      <x:c r="O20" t="str">
        <x:v>none</x:v>
      </x:c>
      <x:c r="P20" s="34" t="n">
        <x:f>E20*F20*G20</x:f>
        <x:v>600</x:v>
      </x:c>
      <x:c r="Q20" s="36" t="str">
        <x:v>synthetic_estimate</x:v>
      </x:c>
      <x:c r="R20" s="20" t="str">
        <x:v>수영복 1개</x:v>
      </x:c>
    </x:row>
    <x:row r="21" ht="23" customHeight="1">
      <x:c r="A21" t="str">
        <x:v>PRESET_020</x:v>
      </x:c>
      <x:c r="B21" t="str">
        <x:v>일반 수건</x:v>
      </x:c>
      <x:c r="C21" t="str">
        <x:v>clothing</x:v>
      </x:c>
      <x:c r="D21" t="str">
        <x:v>접은 상태</x:v>
      </x:c>
      <x:c r="E21" s="32" t="n">
        <x:v>28</x:v>
      </x:c>
      <x:c r="F21" s="32" t="n">
        <x:v>18</x:v>
      </x:c>
      <x:c r="G21" s="32" t="n">
        <x:v>6</x:v>
      </x:c>
      <x:c r="H21" s="32" t="n">
        <x:v>300</x:v>
      </x:c>
      <x:c r="I21" s="22" t="b">
        <x:v>1</x:v>
      </x:c>
      <x:c r="J21" s="22" t="b">
        <x:v>0</x:v>
      </x:c>
      <x:c r="K21" s="22" t="b">
        <x:v>1</x:v>
      </x:c>
      <x:c r="L21" s="22" t="b">
        <x:v>1</x:v>
      </x:c>
      <x:c r="M21" s="22" t="b">
        <x:v>0</x:v>
      </x:c>
      <x:c r="N21" s="22" t="b">
        <x:v>1</x:v>
      </x:c>
      <x:c r="O21" t="str">
        <x:v>none</x:v>
      </x:c>
      <x:c r="P21" s="34" t="n">
        <x:f>E21*F21*G21</x:f>
        <x:v>3024</x:v>
      </x:c>
      <x:c r="Q21" s="36" t="str">
        <x:v>synthetic_estimate</x:v>
      </x:c>
      <x:c r="R21" s="20" t="str">
        <x:v>중간 크기 타월</x:v>
      </x:c>
    </x:row>
    <x:row r="22" ht="23" customHeight="1">
      <x:c r="A22" t="str">
        <x:v>PRESET_021</x:v>
      </x:c>
      <x:c r="B22" t="str">
        <x:v>비치타월</x:v>
      </x:c>
      <x:c r="C22" t="str">
        <x:v>clothing</x:v>
      </x:c>
      <x:c r="D22" t="str">
        <x:v>접은 상태</x:v>
      </x:c>
      <x:c r="E22" s="32" t="n">
        <x:v>30</x:v>
      </x:c>
      <x:c r="F22" s="32" t="n">
        <x:v>25</x:v>
      </x:c>
      <x:c r="G22" s="32" t="n">
        <x:v>9</x:v>
      </x:c>
      <x:c r="H22" s="32" t="n">
        <x:v>650</x:v>
      </x:c>
      <x:c r="I22" s="22" t="b">
        <x:v>1</x:v>
      </x:c>
      <x:c r="J22" s="22" t="b">
        <x:v>0</x:v>
      </x:c>
      <x:c r="K22" s="22" t="b">
        <x:v>1</x:v>
      </x:c>
      <x:c r="L22" s="22" t="b">
        <x:v>1</x:v>
      </x:c>
      <x:c r="M22" s="22" t="b">
        <x:v>0</x:v>
      </x:c>
      <x:c r="N22" s="22" t="b">
        <x:v>1</x:v>
      </x:c>
      <x:c r="O22" t="str">
        <x:v>none</x:v>
      </x:c>
      <x:c r="P22" s="34" t="n">
        <x:f>E22*F22*G22</x:f>
        <x:v>6750</x:v>
      </x:c>
      <x:c r="Q22" s="36" t="str">
        <x:v>synthetic_estimate</x:v>
      </x:c>
      <x:c r="R22" s="20" t="str">
        <x:v>대형 타월</x:v>
      </x:c>
    </x:row>
    <x:row r="23" ht="23" customHeight="1">
      <x:c r="A23" t="str">
        <x:v>PRESET_022</x:v>
      </x:c>
      <x:c r="B23" t="str">
        <x:v>스카프</x:v>
      </x:c>
      <x:c r="C23" t="str">
        <x:v>clothing</x:v>
      </x:c>
      <x:c r="D23" t="str">
        <x:v>접은 상태</x:v>
      </x:c>
      <x:c r="E23" s="32" t="n">
        <x:v>18</x:v>
      </x:c>
      <x:c r="F23" s="32" t="n">
        <x:v>12</x:v>
      </x:c>
      <x:c r="G23" s="32" t="n">
        <x:v>3</x:v>
      </x:c>
      <x:c r="H23" s="32" t="n">
        <x:v>140</x:v>
      </x:c>
      <x:c r="I23" s="22" t="b">
        <x:v>1</x:v>
      </x:c>
      <x:c r="J23" s="22" t="b">
        <x:v>0</x:v>
      </x:c>
      <x:c r="K23" s="22" t="b">
        <x:v>1</x:v>
      </x:c>
      <x:c r="L23" s="22" t="b">
        <x:v>1</x:v>
      </x:c>
      <x:c r="M23" s="22" t="b">
        <x:v>0</x:v>
      </x:c>
      <x:c r="N23" s="22" t="b">
        <x:v>1</x:v>
      </x:c>
      <x:c r="O23" t="str">
        <x:v>none</x:v>
      </x:c>
      <x:c r="P23" s="34" t="n">
        <x:f>E23*F23*G23</x:f>
        <x:v>648</x:v>
      </x:c>
      <x:c r="Q23" s="36" t="str">
        <x:v>synthetic_estimate</x:v>
      </x:c>
      <x:c r="R23" s="20" t="str">
        <x:v>얇은 천 소재</x:v>
      </x:c>
    </x:row>
    <x:row r="24" ht="23" customHeight="1">
      <x:c r="A24" t="str">
        <x:v>PRESET_023</x:v>
      </x:c>
      <x:c r="B24" t="str">
        <x:v>벨트</x:v>
      </x:c>
      <x:c r="C24" t="str">
        <x:v>clothing</x:v>
      </x:c>
      <x:c r="D24" t="str">
        <x:v>말은 상태</x:v>
      </x:c>
      <x:c r="E24" s="32" t="n">
        <x:v>15</x:v>
      </x:c>
      <x:c r="F24" s="32" t="n">
        <x:v>15</x:v>
      </x:c>
      <x:c r="G24" s="32" t="n">
        <x:v>5</x:v>
      </x:c>
      <x:c r="H24" s="32" t="n">
        <x:v>170</x:v>
      </x:c>
      <x:c r="I24" s="22" t="b">
        <x:v>1</x:v>
      </x:c>
      <x:c r="J24" s="22" t="b">
        <x:v>0</x:v>
      </x:c>
      <x:c r="K24" s="22" t="b">
        <x:v>0</x:v>
      </x:c>
      <x:c r="L24" s="22" t="b">
        <x:v>1</x:v>
      </x:c>
      <x:c r="M24" s="22" t="b">
        <x:v>0</x:v>
      </x:c>
      <x:c r="N24" s="22" t="b">
        <x:v>1</x:v>
      </x:c>
      <x:c r="O24" t="str">
        <x:v>none</x:v>
      </x:c>
      <x:c r="P24" s="34" t="n">
        <x:f>E24*F24*G24</x:f>
        <x:v>1125</x:v>
      </x:c>
      <x:c r="Q24" s="36" t="str">
        <x:v>synthetic_estimate</x:v>
      </x:c>
      <x:c r="R24" s="20" t="str">
        <x:v>허리띠 한 개</x:v>
      </x:c>
    </x:row>
    <x:row r="25" ht="23" customHeight="1">
      <x:c r="A25" t="str">
        <x:v>PRESET_024</x:v>
      </x:c>
      <x:c r="B25" t="str">
        <x:v>캡모자</x:v>
      </x:c>
      <x:c r="C25" t="str">
        <x:v>clothing</x:v>
      </x:c>
      <x:c r="D25" t="str">
        <x:v>그대로</x:v>
      </x:c>
      <x:c r="E25" s="32" t="n">
        <x:v>25</x:v>
      </x:c>
      <x:c r="F25" s="32" t="n">
        <x:v>21</x:v>
      </x:c>
      <x:c r="G25" s="32" t="n">
        <x:v>12</x:v>
      </x:c>
      <x:c r="H25" s="32" t="n">
        <x:v>110</x:v>
      </x:c>
      <x:c r="I25" s="22" t="b">
        <x:v>1</x:v>
      </x:c>
      <x:c r="J25" s="22" t="b">
        <x:v>0</x:v>
      </x:c>
      <x:c r="K25" s="22" t="b">
        <x:v>0</x:v>
      </x:c>
      <x:c r="L25" s="22" t="b">
        <x:v>0</x:v>
      </x:c>
      <x:c r="M25" s="22" t="b">
        <x:v>0</x:v>
      </x:c>
      <x:c r="N25" s="22" t="b">
        <x:v>1</x:v>
      </x:c>
      <x:c r="O25" t="str">
        <x:v>none</x:v>
      </x:c>
      <x:c r="P25" s="34" t="n">
        <x:f>E25*F25*G25</x:f>
        <x:v>6300</x:v>
      </x:c>
      <x:c r="Q25" s="36" t="str">
        <x:v>synthetic_estimate</x:v>
      </x:c>
      <x:c r="R25" s="20" t="str">
        <x:v>챙 변형 주의</x:v>
      </x:c>
    </x:row>
    <x:row r="26" ht="23" customHeight="1">
      <x:c r="A26" t="str">
        <x:v>PRESET_025</x:v>
      </x:c>
      <x:c r="B26" t="str">
        <x:v>가벼운 장갑</x:v>
      </x:c>
      <x:c r="C26" t="str">
        <x:v>clothing</x:v>
      </x:c>
      <x:c r="D26" t="str">
        <x:v>접은 상태</x:v>
      </x:c>
      <x:c r="E26" s="32" t="n">
        <x:v>17</x:v>
      </x:c>
      <x:c r="F26" s="32" t="n">
        <x:v>10</x:v>
      </x:c>
      <x:c r="G26" s="32" t="n">
        <x:v>3</x:v>
      </x:c>
      <x:c r="H26" s="32" t="n">
        <x:v>90</x:v>
      </x:c>
      <x:c r="I26" s="22" t="b">
        <x:v>1</x:v>
      </x:c>
      <x:c r="J26" s="22" t="b">
        <x:v>0</x:v>
      </x:c>
      <x:c r="K26" s="22" t="b">
        <x:v>1</x:v>
      </x:c>
      <x:c r="L26" s="22" t="b">
        <x:v>1</x:v>
      </x:c>
      <x:c r="M26" s="22" t="b">
        <x:v>0</x:v>
      </x:c>
      <x:c r="N26" s="22" t="b">
        <x:v>1</x:v>
      </x:c>
      <x:c r="O26" t="str">
        <x:v>none</x:v>
      </x:c>
      <x:c r="P26" s="34" t="n">
        <x:f>E26*F26*G26</x:f>
        <x:v>510</x:v>
      </x:c>
      <x:c r="Q26" s="36" t="str">
        <x:v>synthetic_estimate</x:v>
      </x:c>
      <x:c r="R26" s="20" t="str">
        <x:v>한 켤레</x:v>
      </x:c>
    </x:row>
    <x:row r="27" ht="23" customHeight="1">
      <x:c r="A27" t="str">
        <x:v>PRESET_026</x:v>
      </x:c>
      <x:c r="B27" t="str">
        <x:v>운동화 한 켤레</x:v>
      </x:c>
      <x:c r="C27" t="str">
        <x:v>footwear</x:v>
      </x:c>
      <x:c r="D27" t="str">
        <x:v>나란히 둔 상태</x:v>
      </x:c>
      <x:c r="E27" s="32" t="n">
        <x:v>34</x:v>
      </x:c>
      <x:c r="F27" s="32" t="n">
        <x:v>23</x:v>
      </x:c>
      <x:c r="G27" s="32" t="n">
        <x:v>13</x:v>
      </x:c>
      <x:c r="H27" s="32" t="n">
        <x:v>800</x:v>
      </x:c>
      <x:c r="I27" s="22" t="b">
        <x:v>0</x:v>
      </x:c>
      <x:c r="J27" s="22" t="b">
        <x:v>0</x:v>
      </x:c>
      <x:c r="K27" s="22" t="b">
        <x:v>0</x:v>
      </x:c>
      <x:c r="L27" s="22" t="b">
        <x:v>0</x:v>
      </x:c>
      <x:c r="M27" s="22" t="b">
        <x:v>0</x:v>
      </x:c>
      <x:c r="N27" s="22" t="b">
        <x:v>1</x:v>
      </x:c>
      <x:c r="O27" t="str">
        <x:v>none</x:v>
      </x:c>
      <x:c r="P27" s="34" t="n">
        <x:f>E27*F27*G27</x:f>
        <x:v>10166</x:v>
      </x:c>
      <x:c r="Q27" s="36" t="str">
        <x:v>synthetic_estimate</x:v>
      </x:c>
      <x:c r="R27" s="20" t="str">
        <x:v>실제 신발 모양은 직육면체와 다름</x:v>
      </x:c>
    </x:row>
    <x:row r="28" ht="23" customHeight="1">
      <x:c r="A28" t="str">
        <x:v>PRESET_027</x:v>
      </x:c>
      <x:c r="B28" t="str">
        <x:v>구두 한 켤레</x:v>
      </x:c>
      <x:c r="C28" t="str">
        <x:v>footwear</x:v>
      </x:c>
      <x:c r="D28" t="str">
        <x:v>나란히 둔 상태</x:v>
      </x:c>
      <x:c r="E28" s="32" t="n">
        <x:v>36</x:v>
      </x:c>
      <x:c r="F28" s="32" t="n">
        <x:v>26</x:v>
      </x:c>
      <x:c r="G28" s="32" t="n">
        <x:v>14</x:v>
      </x:c>
      <x:c r="H28" s="32" t="n">
        <x:v>950</x:v>
      </x:c>
      <x:c r="I28" s="22" t="b">
        <x:v>0</x:v>
      </x:c>
      <x:c r="J28" s="22" t="b">
        <x:v>0</x:v>
      </x:c>
      <x:c r="K28" s="22" t="b">
        <x:v>0</x:v>
      </x:c>
      <x:c r="L28" s="22" t="b">
        <x:v>0</x:v>
      </x:c>
      <x:c r="M28" s="22" t="b">
        <x:v>0</x:v>
      </x:c>
      <x:c r="N28" s="22" t="b">
        <x:v>1</x:v>
      </x:c>
      <x:c r="O28" t="str">
        <x:v>none</x:v>
      </x:c>
      <x:c r="P28" s="34" t="n">
        <x:f>E28*F28*G28</x:f>
        <x:v>13104</x:v>
      </x:c>
      <x:c r="Q28" s="36" t="str">
        <x:v>synthetic_estimate</x:v>
      </x:c>
      <x:c r="R28" s="20" t="str">
        <x:v>표면 눌림 주의</x:v>
      </x:c>
    </x:row>
    <x:row r="29" ht="23" customHeight="1">
      <x:c r="A29" t="str">
        <x:v>PRESET_028</x:v>
      </x:c>
      <x:c r="B29" t="str">
        <x:v>샌들 한 켤레</x:v>
      </x:c>
      <x:c r="C29" t="str">
        <x:v>footwear</x:v>
      </x:c>
      <x:c r="D29" t="str">
        <x:v>겹쳐 둔 상태</x:v>
      </x:c>
      <x:c r="E29" s="32" t="n">
        <x:v>30</x:v>
      </x:c>
      <x:c r="F29" s="32" t="n">
        <x:v>22</x:v>
      </x:c>
      <x:c r="G29" s="32" t="n">
        <x:v>10</x:v>
      </x:c>
      <x:c r="H29" s="32" t="n">
        <x:v>530</x:v>
      </x:c>
      <x:c r="I29" s="22" t="b">
        <x:v>0</x:v>
      </x:c>
      <x:c r="J29" s="22" t="b">
        <x:v>0</x:v>
      </x:c>
      <x:c r="K29" s="22" t="b">
        <x:v>0</x:v>
      </x:c>
      <x:c r="L29" s="22" t="b">
        <x:v>1</x:v>
      </x:c>
      <x:c r="M29" s="22" t="b">
        <x:v>0</x:v>
      </x:c>
      <x:c r="N29" s="22" t="b">
        <x:v>1</x:v>
      </x:c>
      <x:c r="O29" t="str">
        <x:v>none</x:v>
      </x:c>
      <x:c r="P29" s="34" t="n">
        <x:f>E29*F29*G29</x:f>
        <x:v>6600</x:v>
      </x:c>
      <x:c r="Q29" s="36" t="str">
        <x:v>synthetic_estimate</x:v>
      </x:c>
      <x:c r="R29" s="20" t="str">
        <x:v>스트랩 형태에 따라 차이</x:v>
      </x:c>
    </x:row>
    <x:row r="30" ht="23" customHeight="1">
      <x:c r="A30" t="str">
        <x:v>PRESET_029</x:v>
      </x:c>
      <x:c r="B30" t="str">
        <x:v>슬리퍼 한 켤레</x:v>
      </x:c>
      <x:c r="C30" t="str">
        <x:v>footwear</x:v>
      </x:c>
      <x:c r="D30" t="str">
        <x:v>겹쳐 둔 상태</x:v>
      </x:c>
      <x:c r="E30" s="32" t="n">
        <x:v>28</x:v>
      </x:c>
      <x:c r="F30" s="32" t="n">
        <x:v>20</x:v>
      </x:c>
      <x:c r="G30" s="32" t="n">
        <x:v>6</x:v>
      </x:c>
      <x:c r="H30" s="32" t="n">
        <x:v>250</x:v>
      </x:c>
      <x:c r="I30" s="22" t="b">
        <x:v>1</x:v>
      </x:c>
      <x:c r="J30" s="22" t="b">
        <x:v>0</x:v>
      </x:c>
      <x:c r="K30" s="22" t="b">
        <x:v>0</x:v>
      </x:c>
      <x:c r="L30" s="22" t="b">
        <x:v>1</x:v>
      </x:c>
      <x:c r="M30" s="22" t="b">
        <x:v>0</x:v>
      </x:c>
      <x:c r="N30" s="22" t="b">
        <x:v>1</x:v>
      </x:c>
      <x:c r="O30" t="str">
        <x:v>none</x:v>
      </x:c>
      <x:c r="P30" s="34" t="n">
        <x:f>E30*F30*G30</x:f>
        <x:v>3360</x:v>
      </x:c>
      <x:c r="Q30" s="36" t="str">
        <x:v>synthetic_estimate</x:v>
      </x:c>
      <x:c r="R30" s="20" t="str">
        <x:v>평평한 실내화</x:v>
      </x:c>
    </x:row>
    <x:row r="31" ht="23" customHeight="1">
      <x:c r="A31" t="str">
        <x:v>PRESET_030</x:v>
      </x:c>
      <x:c r="B31" t="str">
        <x:v>쪼리 한 켤레</x:v>
      </x:c>
      <x:c r="C31" t="str">
        <x:v>footwear</x:v>
      </x:c>
      <x:c r="D31" t="str">
        <x:v>겹쳐 둔 상태</x:v>
      </x:c>
      <x:c r="E31" s="32" t="n">
        <x:v>30</x:v>
      </x:c>
      <x:c r="F31" s="32" t="n">
        <x:v>20</x:v>
      </x:c>
      <x:c r="G31" s="32" t="n">
        <x:v>4</x:v>
      </x:c>
      <x:c r="H31" s="32" t="n">
        <x:v>220</x:v>
      </x:c>
      <x:c r="I31" s="22" t="b">
        <x:v>1</x:v>
      </x:c>
      <x:c r="J31" s="22" t="b">
        <x:v>0</x:v>
      </x:c>
      <x:c r="K31" s="22" t="b">
        <x:v>0</x:v>
      </x:c>
      <x:c r="L31" s="22" t="b">
        <x:v>1</x:v>
      </x:c>
      <x:c r="M31" s="22" t="b">
        <x:v>0</x:v>
      </x:c>
      <x:c r="N31" s="22" t="b">
        <x:v>1</x:v>
      </x:c>
      <x:c r="O31" t="str">
        <x:v>none</x:v>
      </x:c>
      <x:c r="P31" s="34" t="n">
        <x:f>E31*F31*G31</x:f>
        <x:v>2400</x:v>
      </x:c>
      <x:c r="Q31" s="36" t="str">
        <x:v>synthetic_estimate</x:v>
      </x:c>
      <x:c r="R31" s="20" t="str">
        <x:v>얇은 플립플롭</x:v>
      </x:c>
    </x:row>
    <x:row r="32" ht="23" customHeight="1">
      <x:c r="A32" t="str">
        <x:v>PRESET_031</x:v>
      </x:c>
      <x:c r="B32" t="str">
        <x:v>부츠 한 켤레</x:v>
      </x:c>
      <x:c r="C32" t="str">
        <x:v>footwear</x:v>
      </x:c>
      <x:c r="D32" t="str">
        <x:v>나란히 둔 상태</x:v>
      </x:c>
      <x:c r="E32" s="32" t="n">
        <x:v>38</x:v>
      </x:c>
      <x:c r="F32" s="32" t="n">
        <x:v>30</x:v>
      </x:c>
      <x:c r="G32" s="32" t="n">
        <x:v>20</x:v>
      </x:c>
      <x:c r="H32" s="32" t="n">
        <x:v>1250</x:v>
      </x:c>
      <x:c r="I32" s="22" t="b">
        <x:v>0</x:v>
      </x:c>
      <x:c r="J32" s="22" t="b">
        <x:v>0</x:v>
      </x:c>
      <x:c r="K32" s="22" t="b">
        <x:v>0</x:v>
      </x:c>
      <x:c r="L32" s="22" t="b">
        <x:v>0</x:v>
      </x:c>
      <x:c r="M32" s="22" t="b">
        <x:v>0</x:v>
      </x:c>
      <x:c r="N32" s="22" t="b">
        <x:v>1</x:v>
      </x:c>
      <x:c r="O32" t="str">
        <x:v>none</x:v>
      </x:c>
      <x:c r="P32" s="34" t="n">
        <x:f>E32*F32*G32</x:f>
        <x:v>22800</x:v>
      </x:c>
      <x:c r="Q32" s="36" t="str">
        <x:v>synthetic_estimate</x:v>
      </x:c>
      <x:c r="R32" s="20" t="str">
        <x:v>높이가 높아 수납 어려움</x:v>
      </x:c>
    </x:row>
    <x:row r="33" ht="23" customHeight="1">
      <x:c r="A33" t="str">
        <x:v>PRESET_032</x:v>
      </x:c>
      <x:c r="B33" t="str">
        <x:v>여행용 샴푸</x:v>
      </x:c>
      <x:c r="C33" t="str">
        <x:v>toiletries</x:v>
      </x:c>
      <x:c r="D33" t="str">
        <x:v>용기 그대로</x:v>
      </x:c>
      <x:c r="E33" s="32" t="n">
        <x:v>5</x:v>
      </x:c>
      <x:c r="F33" s="32" t="n">
        <x:v>5</x:v>
      </x:c>
      <x:c r="G33" s="32" t="n">
        <x:v>13</x:v>
      </x:c>
      <x:c r="H33" s="32" t="n">
        <x:v>150</x:v>
      </x:c>
      <x:c r="I33" s="22" t="b">
        <x:v>0</x:v>
      </x:c>
      <x:c r="J33" s="22" t="b">
        <x:v>0</x:v>
      </x:c>
      <x:c r="K33" s="22" t="b">
        <x:v>0</x:v>
      </x:c>
      <x:c r="L33" s="22" t="b">
        <x:v>0</x:v>
      </x:c>
      <x:c r="M33" s="22" t="b">
        <x:v>1</x:v>
      </x:c>
      <x:c r="N33" s="22" t="b">
        <x:v>0</x:v>
      </x:c>
      <x:c r="O33" t="str">
        <x:v>liquid_check</x:v>
      </x:c>
      <x:c r="P33" s="34" t="n">
        <x:f>E33*F33*G33</x:f>
        <x:v>325</x:v>
      </x:c>
      <x:c r="Q33" s="36" t="str">
        <x:v>synthetic_estimate</x:v>
      </x:c>
      <x:c r="R33" s="20" t="str">
        <x:v>밀봉 상태 및 항공사 규정 확인</x:v>
      </x:c>
    </x:row>
    <x:row r="34" ht="23" customHeight="1">
      <x:c r="A34" t="str">
        <x:v>PRESET_033</x:v>
      </x:c>
      <x:c r="B34" t="str">
        <x:v>여행용 컨디셔너</x:v>
      </x:c>
      <x:c r="C34" t="str">
        <x:v>toiletries</x:v>
      </x:c>
      <x:c r="D34" t="str">
        <x:v>용기 그대로</x:v>
      </x:c>
      <x:c r="E34" s="32" t="n">
        <x:v>5</x:v>
      </x:c>
      <x:c r="F34" s="32" t="n">
        <x:v>5</x:v>
      </x:c>
      <x:c r="G34" s="32" t="n">
        <x:v>13</x:v>
      </x:c>
      <x:c r="H34" s="32" t="n">
        <x:v>145</x:v>
      </x:c>
      <x:c r="I34" s="22" t="b">
        <x:v>0</x:v>
      </x:c>
      <x:c r="J34" s="22" t="b">
        <x:v>0</x:v>
      </x:c>
      <x:c r="K34" s="22" t="b">
        <x:v>0</x:v>
      </x:c>
      <x:c r="L34" s="22" t="b">
        <x:v>0</x:v>
      </x:c>
      <x:c r="M34" s="22" t="b">
        <x:v>1</x:v>
      </x:c>
      <x:c r="N34" s="22" t="b">
        <x:v>0</x:v>
      </x:c>
      <x:c r="O34" t="str">
        <x:v>liquid_check</x:v>
      </x:c>
      <x:c r="P34" s="34" t="n">
        <x:f>E34*F34*G34</x:f>
        <x:v>325</x:v>
      </x:c>
      <x:c r="Q34" s="36" t="str">
        <x:v>synthetic_estimate</x:v>
      </x:c>
      <x:c r="R34" s="20" t="str">
        <x:v>밀봉 상태 확인</x:v>
      </x:c>
    </x:row>
    <x:row r="35" ht="23" customHeight="1">
      <x:c r="A35" t="str">
        <x:v>PRESET_034</x:v>
      </x:c>
      <x:c r="B35" t="str">
        <x:v>여행용 바디워시</x:v>
      </x:c>
      <x:c r="C35" t="str">
        <x:v>toiletries</x:v>
      </x:c>
      <x:c r="D35" t="str">
        <x:v>용기 그대로</x:v>
      </x:c>
      <x:c r="E35" s="32" t="n">
        <x:v>5</x:v>
      </x:c>
      <x:c r="F35" s="32" t="n">
        <x:v>5</x:v>
      </x:c>
      <x:c r="G35" s="32" t="n">
        <x:v>14</x:v>
      </x:c>
      <x:c r="H35" s="32" t="n">
        <x:v>160</x:v>
      </x:c>
      <x:c r="I35" s="22" t="b">
        <x:v>0</x:v>
      </x:c>
      <x:c r="J35" s="22" t="b">
        <x:v>0</x:v>
      </x:c>
      <x:c r="K35" s="22" t="b">
        <x:v>0</x:v>
      </x:c>
      <x:c r="L35" s="22" t="b">
        <x:v>0</x:v>
      </x:c>
      <x:c r="M35" s="22" t="b">
        <x:v>1</x:v>
      </x:c>
      <x:c r="N35" s="22" t="b">
        <x:v>0</x:v>
      </x:c>
      <x:c r="O35" t="str">
        <x:v>liquid_check</x:v>
      </x:c>
      <x:c r="P35" s="34" t="n">
        <x:f>E35*F35*G35</x:f>
        <x:v>350</x:v>
      </x:c>
      <x:c r="Q35" s="36" t="str">
        <x:v>synthetic_estimate</x:v>
      </x:c>
      <x:c r="R35" s="20" t="str">
        <x:v>밀봉 상태 확인</x:v>
      </x:c>
    </x:row>
    <x:row r="36" ht="23" customHeight="1">
      <x:c r="A36" t="str">
        <x:v>PRESET_035</x:v>
      </x:c>
      <x:c r="B36" t="str">
        <x:v>폼클렌저</x:v>
      </x:c>
      <x:c r="C36" t="str">
        <x:v>toiletries</x:v>
      </x:c>
      <x:c r="D36" t="str">
        <x:v>튜브 그대로</x:v>
      </x:c>
      <x:c r="E36" s="32" t="n">
        <x:v>6</x:v>
      </x:c>
      <x:c r="F36" s="32" t="n">
        <x:v>5</x:v>
      </x:c>
      <x:c r="G36" s="32" t="n">
        <x:v>15</x:v>
      </x:c>
      <x:c r="H36" s="32" t="n">
        <x:v>180</x:v>
      </x:c>
      <x:c r="I36" s="22" t="b">
        <x:v>1</x:v>
      </x:c>
      <x:c r="J36" s="22" t="b">
        <x:v>0</x:v>
      </x:c>
      <x:c r="K36" s="22" t="b">
        <x:v>0</x:v>
      </x:c>
      <x:c r="L36" s="22" t="b">
        <x:v>0</x:v>
      </x:c>
      <x:c r="M36" s="22" t="b">
        <x:v>1</x:v>
      </x:c>
      <x:c r="N36" s="22" t="b">
        <x:v>0</x:v>
      </x:c>
      <x:c r="O36" t="str">
        <x:v>liquid_check</x:v>
      </x:c>
      <x:c r="P36" s="34" t="n">
        <x:f>E36*F36*G36</x:f>
        <x:v>450</x:v>
      </x:c>
      <x:c r="Q36" s="36" t="str">
        <x:v>synthetic_estimate</x:v>
      </x:c>
      <x:c r="R36" s="20" t="str">
        <x:v>내용물 누출 주의</x:v>
      </x:c>
    </x:row>
    <x:row r="37" ht="23" customHeight="1">
      <x:c r="A37" t="str">
        <x:v>PRESET_036</x:v>
      </x:c>
      <x:c r="B37" t="str">
        <x:v>칫솔 케이스</x:v>
      </x:c>
      <x:c r="C37" t="str">
        <x:v>toiletries</x:v>
      </x:c>
      <x:c r="D37" t="str">
        <x:v>케이스 포함</x:v>
      </x:c>
      <x:c r="E37" s="32" t="n">
        <x:v>22</x:v>
      </x:c>
      <x:c r="F37" s="32" t="n">
        <x:v>4</x:v>
      </x:c>
      <x:c r="G37" s="32" t="n">
        <x:v>3</x:v>
      </x:c>
      <x:c r="H37" s="32" t="n">
        <x:v>80</x:v>
      </x:c>
      <x:c r="I37" s="22" t="b">
        <x:v>0</x:v>
      </x:c>
      <x:c r="J37" s="22" t="b">
        <x:v>0</x:v>
      </x:c>
      <x:c r="K37" s="22" t="b">
        <x:v>0</x:v>
      </x:c>
      <x:c r="L37" s="22" t="b">
        <x:v>1</x:v>
      </x:c>
      <x:c r="M37" s="22" t="b">
        <x:v>0</x:v>
      </x:c>
      <x:c r="N37" s="22" t="b">
        <x:v>1</x:v>
      </x:c>
      <x:c r="O37" t="str">
        <x:v>none</x:v>
      </x:c>
      <x:c r="P37" s="34" t="n">
        <x:f>E37*F37*G37</x:f>
        <x:v>264</x:v>
      </x:c>
      <x:c r="Q37" s="36" t="str">
        <x:v>synthetic_estimate</x:v>
      </x:c>
      <x:c r="R37" s="20" t="str">
        <x:v>개별 보관</x:v>
      </x:c>
    </x:row>
    <x:row r="38" ht="23" customHeight="1">
      <x:c r="A38" t="str">
        <x:v>PRESET_037</x:v>
      </x:c>
      <x:c r="B38" t="str">
        <x:v>치약</x:v>
      </x:c>
      <x:c r="C38" t="str">
        <x:v>toiletries</x:v>
      </x:c>
      <x:c r="D38" t="str">
        <x:v>튜브 그대로</x:v>
      </x:c>
      <x:c r="E38" s="32" t="n">
        <x:v>17</x:v>
      </x:c>
      <x:c r="F38" s="32" t="n">
        <x:v>5</x:v>
      </x:c>
      <x:c r="G38" s="32" t="n">
        <x:v>4</x:v>
      </x:c>
      <x:c r="H38" s="32" t="n">
        <x:v>100</x:v>
      </x:c>
      <x:c r="I38" s="22" t="b">
        <x:v>1</x:v>
      </x:c>
      <x:c r="J38" s="22" t="b">
        <x:v>0</x:v>
      </x:c>
      <x:c r="K38" s="22" t="b">
        <x:v>0</x:v>
      </x:c>
      <x:c r="L38" s="22" t="b">
        <x:v>1</x:v>
      </x:c>
      <x:c r="M38" s="22" t="b">
        <x:v>0</x:v>
      </x:c>
      <x:c r="N38" s="22" t="b">
        <x:v>1</x:v>
      </x:c>
      <x:c r="O38" t="str">
        <x:v>liquid_check</x:v>
      </x:c>
      <x:c r="P38" s="34" t="n">
        <x:f>E38*F38*G38</x:f>
        <x:v>340</x:v>
      </x:c>
      <x:c r="Q38" s="36" t="str">
        <x:v>synthetic_estimate</x:v>
      </x:c>
      <x:c r="R38" s="20" t="str">
        <x:v>항공사 규정 확인</x:v>
      </x:c>
    </x:row>
    <x:row r="39" ht="23" customHeight="1">
      <x:c r="A39" t="str">
        <x:v>PRESET_038</x:v>
      </x:c>
      <x:c r="B39" t="str">
        <x:v>기초 화장품 병</x:v>
      </x:c>
      <x:c r="C39" t="str">
        <x:v>toiletries</x:v>
      </x:c>
      <x:c r="D39" t="str">
        <x:v>병 그대로</x:v>
      </x:c>
      <x:c r="E39" s="32" t="n">
        <x:v>7</x:v>
      </x:c>
      <x:c r="F39" s="32" t="n">
        <x:v>7</x:v>
      </x:c>
      <x:c r="G39" s="32" t="n">
        <x:v>15</x:v>
      </x:c>
      <x:c r="H39" s="32" t="n">
        <x:v>220</x:v>
      </x:c>
      <x:c r="I39" s="22" t="b">
        <x:v>0</x:v>
      </x:c>
      <x:c r="J39" s="22" t="b">
        <x:v>1</x:v>
      </x:c>
      <x:c r="K39" s="22" t="b">
        <x:v>0</x:v>
      </x:c>
      <x:c r="L39" s="22" t="b">
        <x:v>0</x:v>
      </x:c>
      <x:c r="M39" s="22" t="b">
        <x:v>1</x:v>
      </x:c>
      <x:c r="N39" s="22" t="b">
        <x:v>0</x:v>
      </x:c>
      <x:c r="O39" t="str">
        <x:v>liquid_check</x:v>
      </x:c>
      <x:c r="P39" s="34" t="n">
        <x:f>E39*F39*G39</x:f>
        <x:v>735</x:v>
      </x:c>
      <x:c r="Q39" s="36" t="str">
        <x:v>synthetic_estimate</x:v>
      </x:c>
      <x:c r="R39" s="20" t="str">
        <x:v>유리 또는 단단한 용기 가정</x:v>
      </x:c>
    </x:row>
    <x:row r="40" ht="23" customHeight="1">
      <x:c r="A40" t="str">
        <x:v>PRESET_039</x:v>
      </x:c>
      <x:c r="B40" t="str">
        <x:v>선크림</x:v>
      </x:c>
      <x:c r="C40" t="str">
        <x:v>toiletries</x:v>
      </x:c>
      <x:c r="D40" t="str">
        <x:v>튜브 그대로</x:v>
      </x:c>
      <x:c r="E40" s="32" t="n">
        <x:v>5</x:v>
      </x:c>
      <x:c r="F40" s="32" t="n">
        <x:v>4</x:v>
      </x:c>
      <x:c r="G40" s="32" t="n">
        <x:v>12</x:v>
      </x:c>
      <x:c r="H40" s="32" t="n">
        <x:v>110</x:v>
      </x:c>
      <x:c r="I40" s="22" t="b">
        <x:v>1</x:v>
      </x:c>
      <x:c r="J40" s="22" t="b">
        <x:v>0</x:v>
      </x:c>
      <x:c r="K40" s="22" t="b">
        <x:v>0</x:v>
      </x:c>
      <x:c r="L40" s="22" t="b">
        <x:v>1</x:v>
      </x:c>
      <x:c r="M40" s="22" t="b">
        <x:v>1</x:v>
      </x:c>
      <x:c r="N40" s="22" t="b">
        <x:v>0</x:v>
      </x:c>
      <x:c r="O40" t="str">
        <x:v>liquid_check</x:v>
      </x:c>
      <x:c r="P40" s="34" t="n">
        <x:f>E40*F40*G40</x:f>
        <x:v>240</x:v>
      </x:c>
      <x:c r="Q40" s="36" t="str">
        <x:v>synthetic_estimate</x:v>
      </x:c>
      <x:c r="R40" s="20" t="str">
        <x:v>항공사 규정 확인</x:v>
      </x:c>
    </x:row>
    <x:row r="41" ht="23" customHeight="1">
      <x:c r="A41" t="str">
        <x:v>PRESET_040</x:v>
      </x:c>
      <x:c r="B41" t="str">
        <x:v>메이크업 파우치</x:v>
      </x:c>
      <x:c r="C41" t="str">
        <x:v>toiletries</x:v>
      </x:c>
      <x:c r="D41" t="str">
        <x:v>내용물 포함</x:v>
      </x:c>
      <x:c r="E41" s="32" t="n">
        <x:v>24</x:v>
      </x:c>
      <x:c r="F41" s="32" t="n">
        <x:v>15</x:v>
      </x:c>
      <x:c r="G41" s="32" t="n">
        <x:v>8</x:v>
      </x:c>
      <x:c r="H41" s="32" t="n">
        <x:v>450</x:v>
      </x:c>
      <x:c r="I41" s="22" t="b">
        <x:v>1</x:v>
      </x:c>
      <x:c r="J41" s="22" t="b">
        <x:v>1</x:v>
      </x:c>
      <x:c r="K41" s="22" t="b">
        <x:v>0</x:v>
      </x:c>
      <x:c r="L41" s="22" t="b">
        <x:v>0</x:v>
      </x:c>
      <x:c r="M41" s="22" t="b">
        <x:v>0</x:v>
      </x:c>
      <x:c r="N41" s="22" t="b">
        <x:v>1</x:v>
      </x:c>
      <x:c r="O41" t="str">
        <x:v>none</x:v>
      </x:c>
      <x:c r="P41" s="34" t="n">
        <x:f>E41*F41*G41</x:f>
        <x:v>2880</x:v>
      </x:c>
      <x:c r="Q41" s="36" t="str">
        <x:v>synthetic_estimate</x:v>
      </x:c>
      <x:c r="R41" s="20" t="str">
        <x:v>내부 물건 별도 중복 계산 금지</x:v>
      </x:c>
    </x:row>
    <x:row r="42" ht="23" customHeight="1">
      <x:c r="A42" t="str">
        <x:v>PRESET_041</x:v>
      </x:c>
      <x:c r="B42" t="str">
        <x:v>빗</x:v>
      </x:c>
      <x:c r="C42" t="str">
        <x:v>toiletries</x:v>
      </x:c>
      <x:c r="D42" t="str">
        <x:v>그대로</x:v>
      </x:c>
      <x:c r="E42" s="32" t="n">
        <x:v>20</x:v>
      </x:c>
      <x:c r="F42" s="32" t="n">
        <x:v>5</x:v>
      </x:c>
      <x:c r="G42" s="32" t="n">
        <x:v>3</x:v>
      </x:c>
      <x:c r="H42" s="32" t="n">
        <x:v>80</x:v>
      </x:c>
      <x:c r="I42" s="22" t="b">
        <x:v>0</x:v>
      </x:c>
      <x:c r="J42" s="22" t="b">
        <x:v>0</x:v>
      </x:c>
      <x:c r="K42" s="22" t="b">
        <x:v>0</x:v>
      </x:c>
      <x:c r="L42" s="22" t="b">
        <x:v>1</x:v>
      </x:c>
      <x:c r="M42" s="22" t="b">
        <x:v>0</x:v>
      </x:c>
      <x:c r="N42" s="22" t="b">
        <x:v>1</x:v>
      </x:c>
      <x:c r="O42" t="str">
        <x:v>none</x:v>
      </x:c>
      <x:c r="P42" s="34" t="n">
        <x:f>E42*F42*G42</x:f>
        <x:v>300</x:v>
      </x:c>
      <x:c r="Q42" s="36" t="str">
        <x:v>synthetic_estimate</x:v>
      </x:c>
      <x:c r="R42" s="20" t="str">
        <x:v>플라스틱 손잡이 빗</x:v>
      </x:c>
    </x:row>
    <x:row r="43" ht="23" customHeight="1">
      <x:c r="A43" t="str">
        <x:v>PRESET_042</x:v>
      </x:c>
      <x:c r="B43" t="str">
        <x:v>면도기 케이스</x:v>
      </x:c>
      <x:c r="C43" t="str">
        <x:v>toiletries</x:v>
      </x:c>
      <x:c r="D43" t="str">
        <x:v>케이스 포함</x:v>
      </x:c>
      <x:c r="E43" s="32" t="n">
        <x:v>16</x:v>
      </x:c>
      <x:c r="F43" s="32" t="n">
        <x:v>7</x:v>
      </x:c>
      <x:c r="G43" s="32" t="n">
        <x:v>4</x:v>
      </x:c>
      <x:c r="H43" s="32" t="n">
        <x:v>95</x:v>
      </x:c>
      <x:c r="I43" s="22" t="b">
        <x:v>0</x:v>
      </x:c>
      <x:c r="J43" s="22" t="b">
        <x:v>0</x:v>
      </x:c>
      <x:c r="K43" s="22" t="b">
        <x:v>0</x:v>
      </x:c>
      <x:c r="L43" s="22" t="b">
        <x:v>1</x:v>
      </x:c>
      <x:c r="M43" s="22" t="b">
        <x:v>0</x:v>
      </x:c>
      <x:c r="N43" s="22" t="b">
        <x:v>1</x:v>
      </x:c>
      <x:c r="O43" t="str">
        <x:v>policy_check</x:v>
      </x:c>
      <x:c r="P43" s="34" t="n">
        <x:f>E43*F43*G43</x:f>
        <x:v>448</x:v>
      </x:c>
      <x:c r="Q43" s="36" t="str">
        <x:v>synthetic_estimate</x:v>
      </x:c>
      <x:c r="R43" s="20" t="str">
        <x:v>날 종류별 반입 정책 확인</x:v>
      </x:c>
    </x:row>
    <x:row r="44" ht="23" customHeight="1">
      <x:c r="A44" t="str">
        <x:v>PRESET_043</x:v>
      </x:c>
      <x:c r="B44" t="str">
        <x:v>향수 병</x:v>
      </x:c>
      <x:c r="C44" t="str">
        <x:v>toiletries</x:v>
      </x:c>
      <x:c r="D44" t="str">
        <x:v>병 그대로</x:v>
      </x:c>
      <x:c r="E44" s="32" t="n">
        <x:v>7</x:v>
      </x:c>
      <x:c r="F44" s="32" t="n">
        <x:v>7</x:v>
      </x:c>
      <x:c r="G44" s="32" t="n">
        <x:v>12</x:v>
      </x:c>
      <x:c r="H44" s="32" t="n">
        <x:v>300</x:v>
      </x:c>
      <x:c r="I44" s="22" t="b">
        <x:v>0</x:v>
      </x:c>
      <x:c r="J44" s="22" t="b">
        <x:v>1</x:v>
      </x:c>
      <x:c r="K44" s="22" t="b">
        <x:v>0</x:v>
      </x:c>
      <x:c r="L44" s="22" t="b">
        <x:v>0</x:v>
      </x:c>
      <x:c r="M44" s="22" t="b">
        <x:v>1</x:v>
      </x:c>
      <x:c r="N44" s="22" t="b">
        <x:v>0</x:v>
      </x:c>
      <x:c r="O44" t="str">
        <x:v>liquid_check</x:v>
      </x:c>
      <x:c r="P44" s="34" t="n">
        <x:f>E44*F44*G44</x:f>
        <x:v>588</x:v>
      </x:c>
      <x:c r="Q44" s="36" t="str">
        <x:v>synthetic_estimate</x:v>
      </x:c>
      <x:c r="R44" s="20" t="str">
        <x:v>파손 위험 및 액체 제한 확인</x:v>
      </x:c>
    </x:row>
    <x:row r="45" ht="23" customHeight="1">
      <x:c r="A45" t="str">
        <x:v>PRESET_044</x:v>
      </x:c>
      <x:c r="B45" t="str">
        <x:v>소형 구급 파우치</x:v>
      </x:c>
      <x:c r="C45" t="str">
        <x:v>toiletries</x:v>
      </x:c>
      <x:c r="D45" t="str">
        <x:v>내용물 포함</x:v>
      </x:c>
      <x:c r="E45" s="32" t="n">
        <x:v>18</x:v>
      </x:c>
      <x:c r="F45" s="32" t="n">
        <x:v>12</x:v>
      </x:c>
      <x:c r="G45" s="32" t="n">
        <x:v>5</x:v>
      </x:c>
      <x:c r="H45" s="32" t="n">
        <x:v>250</x:v>
      </x:c>
      <x:c r="I45" s="22" t="b">
        <x:v>1</x:v>
      </x:c>
      <x:c r="J45" s="22" t="b">
        <x:v>0</x:v>
      </x:c>
      <x:c r="K45" s="22" t="b">
        <x:v>0</x:v>
      </x:c>
      <x:c r="L45" s="22" t="b">
        <x:v>1</x:v>
      </x:c>
      <x:c r="M45" s="22" t="b">
        <x:v>0</x:v>
      </x:c>
      <x:c r="N45" s="22" t="b">
        <x:v>1</x:v>
      </x:c>
      <x:c r="O45" t="str">
        <x:v>policy_check</x:v>
      </x:c>
      <x:c r="P45" s="34" t="n">
        <x:f>E45*F45*G45</x:f>
        <x:v>1080</x:v>
      </x:c>
      <x:c r="Q45" s="36" t="str">
        <x:v>synthetic_estimate</x:v>
      </x:c>
      <x:c r="R45" s="20" t="str">
        <x:v>의약품 종류별 규정 확인</x:v>
      </x:c>
    </x:row>
    <x:row r="46" ht="23" customHeight="1">
      <x:c r="A46" t="str">
        <x:v>PRESET_045</x:v>
      </x:c>
      <x:c r="B46" t="str">
        <x:v>물티슈 소포장</x:v>
      </x:c>
      <x:c r="C46" t="str">
        <x:v>toiletries</x:v>
      </x:c>
      <x:c r="D46" t="str">
        <x:v>미개봉</x:v>
      </x:c>
      <x:c r="E46" s="32" t="n">
        <x:v>17</x:v>
      </x:c>
      <x:c r="F46" s="32" t="n">
        <x:v>10</x:v>
      </x:c>
      <x:c r="G46" s="32" t="n">
        <x:v>4</x:v>
      </x:c>
      <x:c r="H46" s="32" t="n">
        <x:v>150</x:v>
      </x:c>
      <x:c r="I46" s="22" t="b">
        <x:v>1</x:v>
      </x:c>
      <x:c r="J46" s="22" t="b">
        <x:v>0</x:v>
      </x:c>
      <x:c r="K46" s="22" t="b">
        <x:v>0</x:v>
      </x:c>
      <x:c r="L46" s="22" t="b">
        <x:v>1</x:v>
      </x:c>
      <x:c r="M46" s="22" t="b">
        <x:v>0</x:v>
      </x:c>
      <x:c r="N46" s="22" t="b">
        <x:v>1</x:v>
      </x:c>
      <x:c r="O46" t="str">
        <x:v>none</x:v>
      </x:c>
      <x:c r="P46" s="34" t="n">
        <x:f>E46*F46*G46</x:f>
        <x:v>680</x:v>
      </x:c>
      <x:c r="Q46" s="36" t="str">
        <x:v>synthetic_estimate</x:v>
      </x:c>
      <x:c r="R46" s="20" t="str">
        <x:v>물기 있는 부드러운 포장</x:v>
      </x:c>
    </x:row>
    <x:row r="47" ht="23" customHeight="1">
      <x:c r="A47" t="str">
        <x:v>PRESET_046</x:v>
      </x:c>
      <x:c r="B47" t="str">
        <x:v>노트북 13인치</x:v>
      </x:c>
      <x:c r="C47" t="str">
        <x:v>electronics</x:v>
      </x:c>
      <x:c r="D47" t="str">
        <x:v>보호 슬리브 포함</x:v>
      </x:c>
      <x:c r="E47" s="32" t="n">
        <x:v>34</x:v>
      </x:c>
      <x:c r="F47" s="32" t="n">
        <x:v>25</x:v>
      </x:c>
      <x:c r="G47" s="32" t="n">
        <x:v>3</x:v>
      </x:c>
      <x:c r="H47" s="32" t="n">
        <x:v>1500</x:v>
      </x:c>
      <x:c r="I47" s="22" t="b">
        <x:v>0</x:v>
      </x:c>
      <x:c r="J47" s="22" t="b">
        <x:v>1</x:v>
      </x:c>
      <x:c r="K47" s="22" t="b">
        <x:v>0</x:v>
      </x:c>
      <x:c r="L47" s="22" t="b">
        <x:v>0</x:v>
      </x:c>
      <x:c r="M47" s="22" t="b">
        <x:v>0</x:v>
      </x:c>
      <x:c r="N47" s="22" t="b">
        <x:v>1</x:v>
      </x:c>
      <x:c r="O47" t="str">
        <x:v>battery_check</x:v>
      </x:c>
      <x:c r="P47" s="34" t="n">
        <x:f>E47*F47*G47</x:f>
        <x:v>2550</x:v>
      </x:c>
      <x:c r="Q47" s="36" t="str">
        <x:v>synthetic_estimate</x:v>
      </x:c>
      <x:c r="R47" s="20" t="str">
        <x:v>기내/위탁 및 배터리 정책 확인</x:v>
      </x:c>
    </x:row>
    <x:row r="48" ht="23" customHeight="1">
      <x:c r="A48" t="str">
        <x:v>PRESET_047</x:v>
      </x:c>
      <x:c r="B48" t="str">
        <x:v>태블릿</x:v>
      </x:c>
      <x:c r="C48" t="str">
        <x:v>electronics</x:v>
      </x:c>
      <x:c r="D48" t="str">
        <x:v>케이스 포함</x:v>
      </x:c>
      <x:c r="E48" s="32" t="n">
        <x:v>26</x:v>
      </x:c>
      <x:c r="F48" s="32" t="n">
        <x:v>19</x:v>
      </x:c>
      <x:c r="G48" s="32" t="n">
        <x:v>2</x:v>
      </x:c>
      <x:c r="H48" s="32" t="n">
        <x:v>600</x:v>
      </x:c>
      <x:c r="I48" s="22" t="b">
        <x:v>0</x:v>
      </x:c>
      <x:c r="J48" s="22" t="b">
        <x:v>1</x:v>
      </x:c>
      <x:c r="K48" s="22" t="b">
        <x:v>0</x:v>
      </x:c>
      <x:c r="L48" s="22" t="b">
        <x:v>0</x:v>
      </x:c>
      <x:c r="M48" s="22" t="b">
        <x:v>0</x:v>
      </x:c>
      <x:c r="N48" s="22" t="b">
        <x:v>1</x:v>
      </x:c>
      <x:c r="O48" t="str">
        <x:v>battery_check</x:v>
      </x:c>
      <x:c r="P48" s="34" t="n">
        <x:f>E48*F48*G48</x:f>
        <x:v>988</x:v>
      </x:c>
      <x:c r="Q48" s="36" t="str">
        <x:v>synthetic_estimate</x:v>
      </x:c>
      <x:c r="R48" s="20" t="str">
        <x:v>배터리 정책 확인</x:v>
      </x:c>
    </x:row>
    <x:row r="49" ht="23" customHeight="1">
      <x:c r="A49" t="str">
        <x:v>PRESET_048</x:v>
      </x:c>
      <x:c r="B49" t="str">
        <x:v>휴대전화</x:v>
      </x:c>
      <x:c r="C49" t="str">
        <x:v>electronics</x:v>
      </x:c>
      <x:c r="D49" t="str">
        <x:v>케이스 포함</x:v>
      </x:c>
      <x:c r="E49" s="32" t="n">
        <x:v>16</x:v>
      </x:c>
      <x:c r="F49" s="32" t="n">
        <x:v>8</x:v>
      </x:c>
      <x:c r="G49" s="32" t="n">
        <x:v>2</x:v>
      </x:c>
      <x:c r="H49" s="32" t="n">
        <x:v>230</x:v>
      </x:c>
      <x:c r="I49" s="22" t="b">
        <x:v>0</x:v>
      </x:c>
      <x:c r="J49" s="22" t="b">
        <x:v>1</x:v>
      </x:c>
      <x:c r="K49" s="22" t="b">
        <x:v>0</x:v>
      </x:c>
      <x:c r="L49" s="22" t="b">
        <x:v>0</x:v>
      </x:c>
      <x:c r="M49" s="22" t="b">
        <x:v>0</x:v>
      </x:c>
      <x:c r="N49" s="22" t="b">
        <x:v>1</x:v>
      </x:c>
      <x:c r="O49" t="str">
        <x:v>battery_check</x:v>
      </x:c>
      <x:c r="P49" s="34" t="n">
        <x:f>E49*F49*G49</x:f>
        <x:v>256</x:v>
      </x:c>
      <x:c r="Q49" s="36" t="str">
        <x:v>synthetic_estimate</x:v>
      </x:c>
      <x:c r="R49" s="20" t="str">
        <x:v>배터리 정책 확인</x:v>
      </x:c>
    </x:row>
    <x:row r="50" ht="23" customHeight="1">
      <x:c r="A50" t="str">
        <x:v>PRESET_049</x:v>
      </x:c>
      <x:c r="B50" t="str">
        <x:v>보조배터리</x:v>
      </x:c>
      <x:c r="C50" t="str">
        <x:v>electronics</x:v>
      </x:c>
      <x:c r="D50" t="str">
        <x:v>그대로</x:v>
      </x:c>
      <x:c r="E50" s="32" t="n">
        <x:v>14</x:v>
      </x:c>
      <x:c r="F50" s="32" t="n">
        <x:v>7</x:v>
      </x:c>
      <x:c r="G50" s="32" t="n">
        <x:v>3</x:v>
      </x:c>
      <x:c r="H50" s="32" t="n">
        <x:v>250</x:v>
      </x:c>
      <x:c r="I50" s="22" t="b">
        <x:v>0</x:v>
      </x:c>
      <x:c r="J50" s="22" t="b">
        <x:v>0</x:v>
      </x:c>
      <x:c r="K50" s="22" t="b">
        <x:v>0</x:v>
      </x:c>
      <x:c r="L50" s="22" t="b">
        <x:v>1</x:v>
      </x:c>
      <x:c r="M50" s="22" t="b">
        <x:v>0</x:v>
      </x:c>
      <x:c r="N50" s="22" t="b">
        <x:v>1</x:v>
      </x:c>
      <x:c r="O50" t="str">
        <x:v>battery_check</x:v>
      </x:c>
      <x:c r="P50" s="34" t="n">
        <x:f>E50*F50*G50</x:f>
        <x:v>294</x:v>
      </x:c>
      <x:c r="Q50" s="36" t="str">
        <x:v>synthetic_estimate</x:v>
      </x:c>
      <x:c r="R50" s="20" t="str">
        <x:v>항공 반입 제한 확인 필수</x:v>
      </x:c>
    </x:row>
    <x:row r="51" ht="23" customHeight="1">
      <x:c r="A51" t="str">
        <x:v>PRESET_050</x:v>
      </x:c>
      <x:c r="B51" t="str">
        <x:v>카메라</x:v>
      </x:c>
      <x:c r="C51" t="str">
        <x:v>electronics</x:v>
      </x:c>
      <x:c r="D51" t="str">
        <x:v>파우치 포함</x:v>
      </x:c>
      <x:c r="E51" s="32" t="n">
        <x:v>16</x:v>
      </x:c>
      <x:c r="F51" s="32" t="n">
        <x:v>12</x:v>
      </x:c>
      <x:c r="G51" s="32" t="n">
        <x:v>11</x:v>
      </x:c>
      <x:c r="H51" s="32" t="n">
        <x:v>700</x:v>
      </x:c>
      <x:c r="I51" s="22" t="b">
        <x:v>0</x:v>
      </x:c>
      <x:c r="J51" s="22" t="b">
        <x:v>1</x:v>
      </x:c>
      <x:c r="K51" s="22" t="b">
        <x:v>0</x:v>
      </x:c>
      <x:c r="L51" s="22" t="b">
        <x:v>0</x:v>
      </x:c>
      <x:c r="M51" s="22" t="b">
        <x:v>0</x:v>
      </x:c>
      <x:c r="N51" s="22" t="b">
        <x:v>1</x:v>
      </x:c>
      <x:c r="O51" t="str">
        <x:v>battery_check</x:v>
      </x:c>
      <x:c r="P51" s="34" t="n">
        <x:f>E51*F51*G51</x:f>
        <x:v>2112</x:v>
      </x:c>
      <x:c r="Q51" s="36" t="str">
        <x:v>synthetic_estimate</x:v>
      </x:c>
      <x:c r="R51" s="20" t="str">
        <x:v>렌즈 보호 및 배터리 규정 확인</x:v>
      </x:c>
    </x:row>
    <x:row r="52" ht="23" customHeight="1">
      <x:c r="A52" t="str">
        <x:v>PRESET_051</x:v>
      </x:c>
      <x:c r="B52" t="str">
        <x:v>충전기+케이블</x:v>
      </x:c>
      <x:c r="C52" t="str">
        <x:v>electronics</x:v>
      </x:c>
      <x:c r="D52" t="str">
        <x:v>묶은 상태</x:v>
      </x:c>
      <x:c r="E52" s="32" t="n">
        <x:v>12</x:v>
      </x:c>
      <x:c r="F52" s="32" t="n">
        <x:v>8</x:v>
      </x:c>
      <x:c r="G52" s="32" t="n">
        <x:v>5</x:v>
      </x:c>
      <x:c r="H52" s="32" t="n">
        <x:v>180</x:v>
      </x:c>
      <x:c r="I52" s="22" t="b">
        <x:v>1</x:v>
      </x:c>
      <x:c r="J52" s="22" t="b">
        <x:v>0</x:v>
      </x:c>
      <x:c r="K52" s="22" t="b">
        <x:v>0</x:v>
      </x:c>
      <x:c r="L52" s="22" t="b">
        <x:v>1</x:v>
      </x:c>
      <x:c r="M52" s="22" t="b">
        <x:v>0</x:v>
      </x:c>
      <x:c r="N52" s="22" t="b">
        <x:v>1</x:v>
      </x:c>
      <x:c r="O52" t="str">
        <x:v>none</x:v>
      </x:c>
      <x:c r="P52" s="34" t="n">
        <x:f>E52*F52*G52</x:f>
        <x:v>480</x:v>
      </x:c>
      <x:c r="Q52" s="36" t="str">
        <x:v>synthetic_estimate</x:v>
      </x:c>
      <x:c r="R52" s="20" t="str">
        <x:v>범용 충전 세트</x:v>
      </x:c>
    </x:row>
    <x:row r="53" ht="23" customHeight="1">
      <x:c r="A53" t="str">
        <x:v>PRESET_052</x:v>
      </x:c>
      <x:c r="B53" t="str">
        <x:v>여행용 멀티어댑터</x:v>
      </x:c>
      <x:c r="C53" t="str">
        <x:v>electronics</x:v>
      </x:c>
      <x:c r="D53" t="str">
        <x:v>그대로</x:v>
      </x:c>
      <x:c r="E53" s="32" t="n">
        <x:v>8</x:v>
      </x:c>
      <x:c r="F53" s="32" t="n">
        <x:v>7</x:v>
      </x:c>
      <x:c r="G53" s="32" t="n">
        <x:v>6</x:v>
      </x:c>
      <x:c r="H53" s="32" t="n">
        <x:v>150</x:v>
      </x:c>
      <x:c r="I53" s="22" t="b">
        <x:v>0</x:v>
      </x:c>
      <x:c r="J53" s="22" t="b">
        <x:v>0</x:v>
      </x:c>
      <x:c r="K53" s="22" t="b">
        <x:v>0</x:v>
      </x:c>
      <x:c r="L53" s="22" t="b">
        <x:v>1</x:v>
      </x:c>
      <x:c r="M53" s="22" t="b">
        <x:v>0</x:v>
      </x:c>
      <x:c r="N53" s="22" t="b">
        <x:v>1</x:v>
      </x:c>
      <x:c r="O53" t="str">
        <x:v>none</x:v>
      </x:c>
      <x:c r="P53" s="34" t="n">
        <x:f>E53*F53*G53</x:f>
        <x:v>336</x:v>
      </x:c>
      <x:c r="Q53" s="36" t="str">
        <x:v>synthetic_estimate</x:v>
      </x:c>
      <x:c r="R53" s="20" t="str">
        <x:v>멀티 플러그</x:v>
      </x:c>
    </x:row>
    <x:row r="54" ht="23" customHeight="1">
      <x:c r="A54" t="str">
        <x:v>PRESET_053</x:v>
      </x:c>
      <x:c r="B54" t="str">
        <x:v>무선 이어폰 케이스</x:v>
      </x:c>
      <x:c r="C54" t="str">
        <x:v>electronics</x:v>
      </x:c>
      <x:c r="D54" t="str">
        <x:v>케이스 포함</x:v>
      </x:c>
      <x:c r="E54" s="32" t="n">
        <x:v>8</x:v>
      </x:c>
      <x:c r="F54" s="32" t="n">
        <x:v>6</x:v>
      </x:c>
      <x:c r="G54" s="32" t="n">
        <x:v>4</x:v>
      </x:c>
      <x:c r="H54" s="32" t="n">
        <x:v>80</x:v>
      </x:c>
      <x:c r="I54" s="22" t="b">
        <x:v>0</x:v>
      </x:c>
      <x:c r="J54" s="22" t="b">
        <x:v>1</x:v>
      </x:c>
      <x:c r="K54" s="22" t="b">
        <x:v>0</x:v>
      </x:c>
      <x:c r="L54" s="22" t="b">
        <x:v>0</x:v>
      </x:c>
      <x:c r="M54" s="22" t="b">
        <x:v>0</x:v>
      </x:c>
      <x:c r="N54" s="22" t="b">
        <x:v>1</x:v>
      </x:c>
      <x:c r="O54" t="str">
        <x:v>battery_check</x:v>
      </x:c>
      <x:c r="P54" s="34" t="n">
        <x:f>E54*F54*G54</x:f>
        <x:v>192</x:v>
      </x:c>
      <x:c r="Q54" s="36" t="str">
        <x:v>synthetic_estimate</x:v>
      </x:c>
      <x:c r="R54" s="20" t="str">
        <x:v>배터리 정책 확인</x:v>
      </x:c>
    </x:row>
    <x:row r="55" ht="23" customHeight="1">
      <x:c r="A55" t="str">
        <x:v>PRESET_054</x:v>
      </x:c>
      <x:c r="B55" t="str">
        <x:v>헤드폰</x:v>
      </x:c>
      <x:c r="C55" t="str">
        <x:v>electronics</x:v>
      </x:c>
      <x:c r="D55" t="str">
        <x:v>케이스 포함</x:v>
      </x:c>
      <x:c r="E55" s="32" t="n">
        <x:v>23</x:v>
      </x:c>
      <x:c r="F55" s="32" t="n">
        <x:v>20</x:v>
      </x:c>
      <x:c r="G55" s="32" t="n">
        <x:v>10</x:v>
      </x:c>
      <x:c r="H55" s="32" t="n">
        <x:v>400</x:v>
      </x:c>
      <x:c r="I55" s="22" t="b">
        <x:v>0</x:v>
      </x:c>
      <x:c r="J55" s="22" t="b">
        <x:v>1</x:v>
      </x:c>
      <x:c r="K55" s="22" t="b">
        <x:v>0</x:v>
      </x:c>
      <x:c r="L55" s="22" t="b">
        <x:v>0</x:v>
      </x:c>
      <x:c r="M55" s="22" t="b">
        <x:v>0</x:v>
      </x:c>
      <x:c r="N55" s="22" t="b">
        <x:v>1</x:v>
      </x:c>
      <x:c r="O55" t="str">
        <x:v>battery_check</x:v>
      </x:c>
      <x:c r="P55" s="34" t="n">
        <x:f>E55*F55*G55</x:f>
        <x:v>4600</x:v>
      </x:c>
      <x:c r="Q55" s="36" t="str">
        <x:v>synthetic_estimate</x:v>
      </x:c>
      <x:c r="R55" s="20" t="str">
        <x:v>케이스 포함 수치</x:v>
      </x:c>
    </x:row>
    <x:row r="56" ht="23" customHeight="1">
      <x:c r="A56" t="str">
        <x:v>PRESET_055</x:v>
      </x:c>
      <x:c r="B56" t="str">
        <x:v>휴대용 스피커</x:v>
      </x:c>
      <x:c r="C56" t="str">
        <x:v>electronics</x:v>
      </x:c>
      <x:c r="D56" t="str">
        <x:v>그대로</x:v>
      </x:c>
      <x:c r="E56" s="32" t="n">
        <x:v>18</x:v>
      </x:c>
      <x:c r="F56" s="32" t="n">
        <x:v>8</x:v>
      </x:c>
      <x:c r="G56" s="32" t="n">
        <x:v>8</x:v>
      </x:c>
      <x:c r="H56" s="32" t="n">
        <x:v>430</x:v>
      </x:c>
      <x:c r="I56" s="22" t="b">
        <x:v>0</x:v>
      </x:c>
      <x:c r="J56" s="22" t="b">
        <x:v>1</x:v>
      </x:c>
      <x:c r="K56" s="22" t="b">
        <x:v>0</x:v>
      </x:c>
      <x:c r="L56" s="22" t="b">
        <x:v>0</x:v>
      </x:c>
      <x:c r="M56" s="22" t="b">
        <x:v>0</x:v>
      </x:c>
      <x:c r="N56" s="22" t="b">
        <x:v>1</x:v>
      </x:c>
      <x:c r="O56" t="str">
        <x:v>battery_check</x:v>
      </x:c>
      <x:c r="P56" s="34" t="n">
        <x:f>E56*F56*G56</x:f>
        <x:v>1152</x:v>
      </x:c>
      <x:c r="Q56" s="36" t="str">
        <x:v>synthetic_estimate</x:v>
      </x:c>
      <x:c r="R56" s="20" t="str">
        <x:v>배터리 정책 확인</x:v>
      </x:c>
    </x:row>
    <x:row r="57" ht="23" customHeight="1">
      <x:c r="A57" t="str">
        <x:v>PRESET_056</x:v>
      </x:c>
      <x:c r="B57" t="str">
        <x:v>여권</x:v>
      </x:c>
      <x:c r="C57" t="str">
        <x:v>travel</x:v>
      </x:c>
      <x:c r="D57" t="str">
        <x:v>지갑 포함</x:v>
      </x:c>
      <x:c r="E57" s="32" t="n">
        <x:v>15</x:v>
      </x:c>
      <x:c r="F57" s="32" t="n">
        <x:v>11</x:v>
      </x:c>
      <x:c r="G57" s="32" t="n">
        <x:v>2</x:v>
      </x:c>
      <x:c r="H57" s="32" t="n">
        <x:v>90</x:v>
      </x:c>
      <x:c r="I57" s="22" t="b">
        <x:v>0</x:v>
      </x:c>
      <x:c r="J57" s="22" t="b">
        <x:v>0</x:v>
      </x:c>
      <x:c r="K57" s="22" t="b">
        <x:v>0</x:v>
      </x:c>
      <x:c r="L57" s="22" t="b">
        <x:v>1</x:v>
      </x:c>
      <x:c r="M57" s="22" t="b">
        <x:v>0</x:v>
      </x:c>
      <x:c r="N57" s="22" t="b">
        <x:v>1</x:v>
      </x:c>
      <x:c r="O57" t="str">
        <x:v>carry_on_recommended</x:v>
      </x:c>
      <x:c r="P57" s="34" t="n">
        <x:f>E57*F57*G57</x:f>
        <x:v>330</x:v>
      </x:c>
      <x:c r="Q57" s="36" t="str">
        <x:v>synthetic_estimate</x:v>
      </x:c>
      <x:c r="R57" s="20" t="str">
        <x:v>기내 소지 권장</x:v>
      </x:c>
    </x:row>
    <x:row r="58" ht="23" customHeight="1">
      <x:c r="A58" t="str">
        <x:v>PRESET_057</x:v>
      </x:c>
      <x:c r="B58" t="str">
        <x:v>지갑</x:v>
      </x:c>
      <x:c r="C58" t="str">
        <x:v>travel</x:v>
      </x:c>
      <x:c r="D58" t="str">
        <x:v>그대로</x:v>
      </x:c>
      <x:c r="E58" s="32" t="n">
        <x:v>12</x:v>
      </x:c>
      <x:c r="F58" s="32" t="n">
        <x:v>10</x:v>
      </x:c>
      <x:c r="G58" s="32" t="n">
        <x:v>3</x:v>
      </x:c>
      <x:c r="H58" s="32" t="n">
        <x:v>160</x:v>
      </x:c>
      <x:c r="I58" s="22" t="b">
        <x:v>0</x:v>
      </x:c>
      <x:c r="J58" s="22" t="b">
        <x:v>0</x:v>
      </x:c>
      <x:c r="K58" s="22" t="b">
        <x:v>0</x:v>
      </x:c>
      <x:c r="L58" s="22" t="b">
        <x:v>1</x:v>
      </x:c>
      <x:c r="M58" s="22" t="b">
        <x:v>0</x:v>
      </x:c>
      <x:c r="N58" s="22" t="b">
        <x:v>1</x:v>
      </x:c>
      <x:c r="O58" t="str">
        <x:v>carry_on_recommended</x:v>
      </x:c>
      <x:c r="P58" s="34" t="n">
        <x:f>E58*F58*G58</x:f>
        <x:v>360</x:v>
      </x:c>
      <x:c r="Q58" s="36" t="str">
        <x:v>synthetic_estimate</x:v>
      </x:c>
      <x:c r="R58" s="20" t="str">
        <x:v>중요 소지품</x:v>
      </x:c>
    </x:row>
    <x:row r="59" ht="23" customHeight="1">
      <x:c r="A59" t="str">
        <x:v>PRESET_058</x:v>
      </x:c>
      <x:c r="B59" t="str">
        <x:v>접이식 우산</x:v>
      </x:c>
      <x:c r="C59" t="str">
        <x:v>travel</x:v>
      </x:c>
      <x:c r="D59" t="str">
        <x:v>접은 상태</x:v>
      </x:c>
      <x:c r="E59" s="32" t="n">
        <x:v>28</x:v>
      </x:c>
      <x:c r="F59" s="32" t="n">
        <x:v>6</x:v>
      </x:c>
      <x:c r="G59" s="32" t="n">
        <x:v>6</x:v>
      </x:c>
      <x:c r="H59" s="32" t="n">
        <x:v>260</x:v>
      </x:c>
      <x:c r="I59" s="22" t="b">
        <x:v>0</x:v>
      </x:c>
      <x:c r="J59" s="22" t="b">
        <x:v>0</x:v>
      </x:c>
      <x:c r="K59" s="22" t="b">
        <x:v>0</x:v>
      </x:c>
      <x:c r="L59" s="22" t="b">
        <x:v>1</x:v>
      </x:c>
      <x:c r="M59" s="22" t="b">
        <x:v>0</x:v>
      </x:c>
      <x:c r="N59" s="22" t="b">
        <x:v>1</x:v>
      </x:c>
      <x:c r="O59" t="str">
        <x:v>policy_check</x:v>
      </x:c>
      <x:c r="P59" s="34" t="n">
        <x:f>E59*F59*G59</x:f>
        <x:v>1008</x:v>
      </x:c>
      <x:c r="Q59" s="36" t="str">
        <x:v>synthetic_estimate</x:v>
      </x:c>
      <x:c r="R59" s="20" t="str">
        <x:v>운송 규정 확인</x:v>
      </x:c>
    </x:row>
    <x:row r="60" ht="23" customHeight="1">
      <x:c r="A60" t="str">
        <x:v>PRESET_059</x:v>
      </x:c>
      <x:c r="B60" t="str">
        <x:v>목베개</x:v>
      </x:c>
      <x:c r="C60" t="str">
        <x:v>travel</x:v>
      </x:c>
      <x:c r="D60" t="str">
        <x:v>접은 상태</x:v>
      </x:c>
      <x:c r="E60" s="32" t="n">
        <x:v>30</x:v>
      </x:c>
      <x:c r="F60" s="32" t="n">
        <x:v>28</x:v>
      </x:c>
      <x:c r="G60" s="32" t="n">
        <x:v>12</x:v>
      </x:c>
      <x:c r="H60" s="32" t="n">
        <x:v>250</x:v>
      </x:c>
      <x:c r="I60" s="22" t="b">
        <x:v>1</x:v>
      </x:c>
      <x:c r="J60" s="22" t="b">
        <x:v>0</x:v>
      </x:c>
      <x:c r="K60" s="22" t="b">
        <x:v>1</x:v>
      </x:c>
      <x:c r="L60" s="22" t="b">
        <x:v>0</x:v>
      </x:c>
      <x:c r="M60" s="22" t="b">
        <x:v>0</x:v>
      </x:c>
      <x:c r="N60" s="22" t="b">
        <x:v>1</x:v>
      </x:c>
      <x:c r="O60" t="str">
        <x:v>none</x:v>
      </x:c>
      <x:c r="P60" s="34" t="n">
        <x:f>E60*F60*G60</x:f>
        <x:v>10080</x:v>
      </x:c>
      <x:c r="Q60" s="36" t="str">
        <x:v>synthetic_estimate</x:v>
      </x:c>
      <x:c r="R60" s="20" t="str">
        <x:v>폼/에어 타입에 따라 차이</x:v>
      </x:c>
    </x:row>
    <x:row r="61" ht="23" customHeight="1">
      <x:c r="A61" t="str">
        <x:v>PRESET_060</x:v>
      </x:c>
      <x:c r="B61" t="str">
        <x:v>선글라스 케이스</x:v>
      </x:c>
      <x:c r="C61" t="str">
        <x:v>travel</x:v>
      </x:c>
      <x:c r="D61" t="str">
        <x:v>케이스 포함</x:v>
      </x:c>
      <x:c r="E61" s="32" t="n">
        <x:v>18</x:v>
      </x:c>
      <x:c r="F61" s="32" t="n">
        <x:v>8</x:v>
      </x:c>
      <x:c r="G61" s="32" t="n">
        <x:v>7</x:v>
      </x:c>
      <x:c r="H61" s="32" t="n">
        <x:v>170</x:v>
      </x:c>
      <x:c r="I61" s="22" t="b">
        <x:v>0</x:v>
      </x:c>
      <x:c r="J61" s="22" t="b">
        <x:v>1</x:v>
      </x:c>
      <x:c r="K61" s="22" t="b">
        <x:v>0</x:v>
      </x:c>
      <x:c r="L61" s="22" t="b">
        <x:v>0</x:v>
      </x:c>
      <x:c r="M61" s="22" t="b">
        <x:v>0</x:v>
      </x:c>
      <x:c r="N61" s="22" t="b">
        <x:v>1</x:v>
      </x:c>
      <x:c r="O61" t="str">
        <x:v>none</x:v>
      </x:c>
      <x:c r="P61" s="34" t="n">
        <x:f>E61*F61*G61</x:f>
        <x:v>1008</x:v>
      </x:c>
      <x:c r="Q61" s="36" t="str">
        <x:v>synthetic_estimate</x:v>
      </x:c>
      <x:c r="R61" s="20" t="str">
        <x:v>보호 케이스 기준</x:v>
      </x:c>
    </x:row>
    <x:row r="62" ht="23" customHeight="1">
      <x:c r="A62" t="str">
        <x:v>PRESET_061</x:v>
      </x:c>
      <x:c r="B62" t="str">
        <x:v>세탁물 파우치</x:v>
      </x:c>
      <x:c r="C62" t="str">
        <x:v>travel</x:v>
      </x:c>
      <x:c r="D62" t="str">
        <x:v>접은 상태</x:v>
      </x:c>
      <x:c r="E62" s="32" t="n">
        <x:v>25</x:v>
      </x:c>
      <x:c r="F62" s="32" t="n">
        <x:v>18</x:v>
      </x:c>
      <x:c r="G62" s="32" t="n">
        <x:v>2</x:v>
      </x:c>
      <x:c r="H62" s="32" t="n">
        <x:v>100</x:v>
      </x:c>
      <x:c r="I62" s="22" t="b">
        <x:v>1</x:v>
      </x:c>
      <x:c r="J62" s="22" t="b">
        <x:v>0</x:v>
      </x:c>
      <x:c r="K62" s="22" t="b">
        <x:v>1</x:v>
      </x:c>
      <x:c r="L62" s="22" t="b">
        <x:v>1</x:v>
      </x:c>
      <x:c r="M62" s="22" t="b">
        <x:v>0</x:v>
      </x:c>
      <x:c r="N62" s="22" t="b">
        <x:v>1</x:v>
      </x:c>
      <x:c r="O62" t="str">
        <x:v>none</x:v>
      </x:c>
      <x:c r="P62" s="34" t="n">
        <x:f>E62*F62*G62</x:f>
        <x:v>900</x:v>
      </x:c>
      <x:c r="Q62" s="36" t="str">
        <x:v>synthetic_estimate</x:v>
      </x:c>
      <x:c r="R62" s="20" t="str">
        <x:v>빈 파우치</x:v>
      </x:c>
    </x:row>
    <x:row r="63" ht="23" customHeight="1">
      <x:c r="A63" t="str">
        <x:v>PRESET_062</x:v>
      </x:c>
      <x:c r="B63" t="str">
        <x:v>소형 패킹 큐브</x:v>
      </x:c>
      <x:c r="C63" t="str">
        <x:v>travel</x:v>
      </x:c>
      <x:c r="D63" t="str">
        <x:v>내용물 포함</x:v>
      </x:c>
      <x:c r="E63" s="32" t="n">
        <x:v>25</x:v>
      </x:c>
      <x:c r="F63" s="32" t="n">
        <x:v>20</x:v>
      </x:c>
      <x:c r="G63" s="32" t="n">
        <x:v>8</x:v>
      </x:c>
      <x:c r="H63" s="32" t="n">
        <x:v>650</x:v>
      </x:c>
      <x:c r="I63" s="22" t="b">
        <x:v>1</x:v>
      </x:c>
      <x:c r="J63" s="22" t="b">
        <x:v>0</x:v>
      </x:c>
      <x:c r="K63" s="22" t="b">
        <x:v>0</x:v>
      </x:c>
      <x:c r="L63" s="22" t="b">
        <x:v>1</x:v>
      </x:c>
      <x:c r="M63" s="22" t="b">
        <x:v>0</x:v>
      </x:c>
      <x:c r="N63" s="22" t="b">
        <x:v>1</x:v>
      </x:c>
      <x:c r="O63" t="str">
        <x:v>none</x:v>
      </x:c>
      <x:c r="P63" s="34" t="n">
        <x:f>E63*F63*G63</x:f>
        <x:v>4000</x:v>
      </x:c>
      <x:c r="Q63" s="36" t="str">
        <x:v>synthetic_estimate</x:v>
      </x:c>
      <x:c r="R63" s="20" t="str">
        <x:v>내부 옷과 중복 입력 금지</x:v>
      </x:c>
    </x:row>
    <x:row r="64" ht="23" customHeight="1">
      <x:c r="A64" t="str">
        <x:v>PRESET_063</x:v>
      </x:c>
      <x:c r="B64" t="str">
        <x:v>책</x:v>
      </x:c>
      <x:c r="C64" t="str">
        <x:v>travel</x:v>
      </x:c>
      <x:c r="D64" t="str">
        <x:v>그대로</x:v>
      </x:c>
      <x:c r="E64" s="32" t="n">
        <x:v>21</x:v>
      </x:c>
      <x:c r="F64" s="32" t="n">
        <x:v>15</x:v>
      </x:c>
      <x:c r="G64" s="32" t="n">
        <x:v>3</x:v>
      </x:c>
      <x:c r="H64" s="32" t="n">
        <x:v>350</x:v>
      </x:c>
      <x:c r="I64" s="22" t="b">
        <x:v>0</x:v>
      </x:c>
      <x:c r="J64" s="22" t="b">
        <x:v>0</x:v>
      </x:c>
      <x:c r="K64" s="22" t="b">
        <x:v>0</x:v>
      </x:c>
      <x:c r="L64" s="22" t="b">
        <x:v>1</x:v>
      </x:c>
      <x:c r="M64" s="22" t="b">
        <x:v>0</x:v>
      </x:c>
      <x:c r="N64" s="22" t="b">
        <x:v>1</x:v>
      </x:c>
      <x:c r="O64" t="str">
        <x:v>none</x:v>
      </x:c>
      <x:c r="P64" s="34" t="n">
        <x:f>E64*F64*G64</x:f>
        <x:v>945</x:v>
      </x:c>
      <x:c r="Q64" s="36" t="str">
        <x:v>synthetic_estimate</x:v>
      </x:c>
      <x:c r="R64" s="20" t="str">
        <x:v>문고본보다 큰 책</x:v>
      </x:c>
    </x:row>
    <x:row r="65" ht="23" customHeight="1">
      <x:c r="A65" t="str">
        <x:v>PRESET_064</x:v>
      </x:c>
      <x:c r="B65" t="str">
        <x:v>노트</x:v>
      </x:c>
      <x:c r="C65" t="str">
        <x:v>travel</x:v>
      </x:c>
      <x:c r="D65" t="str">
        <x:v>그대로</x:v>
      </x:c>
      <x:c r="E65" s="32" t="n">
        <x:v>21</x:v>
      </x:c>
      <x:c r="F65" s="32" t="n">
        <x:v>15</x:v>
      </x:c>
      <x:c r="G65" s="32" t="n">
        <x:v>2</x:v>
      </x:c>
      <x:c r="H65" s="32" t="n">
        <x:v>250</x:v>
      </x:c>
      <x:c r="I65" s="22" t="b">
        <x:v>0</x:v>
      </x:c>
      <x:c r="J65" s="22" t="b">
        <x:v>0</x:v>
      </x:c>
      <x:c r="K65" s="22" t="b">
        <x:v>0</x:v>
      </x:c>
      <x:c r="L65" s="22" t="b">
        <x:v>1</x:v>
      </x:c>
      <x:c r="M65" s="22" t="b">
        <x:v>0</x:v>
      </x:c>
      <x:c r="N65" s="22" t="b">
        <x:v>1</x:v>
      </x:c>
      <x:c r="O65" t="str">
        <x:v>none</x:v>
      </x:c>
      <x:c r="P65" s="34" t="n">
        <x:f>E65*F65*G65</x:f>
        <x:v>630</x:v>
      </x:c>
      <x:c r="Q65" s="36" t="str">
        <x:v>synthetic_estimate</x:v>
      </x:c>
      <x:c r="R65" s="20" t="str">
        <x:v>A5 수준 가정</x:v>
      </x:c>
    </x:row>
    <x:row r="66" ht="23" customHeight="1">
      <x:c r="A66" t="str">
        <x:v>PRESET_065</x:v>
      </x:c>
      <x:c r="B66" t="str">
        <x:v>휴대용 삼각대</x:v>
      </x:c>
      <x:c r="C66" t="str">
        <x:v>travel</x:v>
      </x:c>
      <x:c r="D66" t="str">
        <x:v>접은 상태</x:v>
      </x:c>
      <x:c r="E66" s="32" t="n">
        <x:v>35</x:v>
      </x:c>
      <x:c r="F66" s="32" t="n">
        <x:v>7</x:v>
      </x:c>
      <x:c r="G66" s="32" t="n">
        <x:v>7</x:v>
      </x:c>
      <x:c r="H66" s="32" t="n">
        <x:v>350</x:v>
      </x:c>
      <x:c r="I66" s="22" t="b">
        <x:v>0</x:v>
      </x:c>
      <x:c r="J66" s="22" t="b">
        <x:v>0</x:v>
      </x:c>
      <x:c r="K66" s="22" t="b">
        <x:v>0</x:v>
      </x:c>
      <x:c r="L66" s="22" t="b">
        <x:v>1</x:v>
      </x:c>
      <x:c r="M66" s="22" t="b">
        <x:v>0</x:v>
      </x:c>
      <x:c r="N66" s="22" t="b">
        <x:v>1</x:v>
      </x:c>
      <x:c r="O66" t="str">
        <x:v>policy_check</x:v>
      </x:c>
      <x:c r="P66" s="34" t="n">
        <x:f>E66*F66*G66</x:f>
        <x:v>1715</x:v>
      </x:c>
      <x:c r="Q66" s="36" t="str">
        <x:v>synthetic_estimate</x:v>
      </x:c>
      <x:c r="R66" s="20" t="str">
        <x:v>길이/항공 반입 규정 확인</x:v>
      </x:c>
    </x:row>
    <x:row r="67" ht="23" customHeight="1">
      <x:c r="A67" t="str">
        <x:v>PRESET_066</x:v>
      </x:c>
      <x:c r="B67" t="str">
        <x:v>긴 포스터 튜브</x:v>
      </x:c>
      <x:c r="C67" t="str">
        <x:v>travel</x:v>
      </x:c>
      <x:c r="D67" t="str">
        <x:v>보호통 포함</x:v>
      </x:c>
      <x:c r="E67" s="32" t="n">
        <x:v>58</x:v>
      </x:c>
      <x:c r="F67" s="32" t="n">
        <x:v>9</x:v>
      </x:c>
      <x:c r="G67" s="32" t="n">
        <x:v>9</x:v>
      </x:c>
      <x:c r="H67" s="32" t="n">
        <x:v>480</x:v>
      </x:c>
      <x:c r="I67" s="22" t="b">
        <x:v>0</x:v>
      </x:c>
      <x:c r="J67" s="22" t="b">
        <x:v>0</x:v>
      </x:c>
      <x:c r="K67" s="22" t="b">
        <x:v>0</x:v>
      </x:c>
      <x:c r="L67" s="22" t="b">
        <x:v>1</x:v>
      </x:c>
      <x:c r="M67" s="22" t="b">
        <x:v>0</x:v>
      </x:c>
      <x:c r="N67" s="22" t="b">
        <x:v>1</x:v>
      </x:c>
      <x:c r="O67" t="str">
        <x:v>none</x:v>
      </x:c>
      <x:c r="P67" s="34" t="n">
        <x:f>E67*F67*G67</x:f>
        <x:v>4698</x:v>
      </x:c>
      <x:c r="Q67" s="36" t="str">
        <x:v>synthetic_estimate</x:v>
      </x:c>
      <x:c r="R67" s="20" t="str">
        <x:v>길이 초과 테스트용 물품</x:v>
      </x:c>
    </x:row>
    <x:row r="68" ht="23" customHeight="1">
      <x:c r="A68" t="str">
        <x:v>PRESET_067</x:v>
      </x:c>
      <x:c r="B68" t="str">
        <x:v>과자 선물 상자</x:v>
      </x:c>
      <x:c r="C68" t="str">
        <x:v>souvenir</x:v>
      </x:c>
      <x:c r="D68" t="str">
        <x:v>상자 포함</x:v>
      </x:c>
      <x:c r="E68" s="32" t="n">
        <x:v>25</x:v>
      </x:c>
      <x:c r="F68" s="32" t="n">
        <x:v>18</x:v>
      </x:c>
      <x:c r="G68" s="32" t="n">
        <x:v>8</x:v>
      </x:c>
      <x:c r="H68" s="32" t="n">
        <x:v>420</x:v>
      </x:c>
      <x:c r="I68" s="22" t="b">
        <x:v>0</x:v>
      </x:c>
      <x:c r="J68" s="22" t="b">
        <x:v>1</x:v>
      </x:c>
      <x:c r="K68" s="22" t="b">
        <x:v>0</x:v>
      </x:c>
      <x:c r="L68" s="22" t="b">
        <x:v>0</x:v>
      </x:c>
      <x:c r="M68" s="22" t="b">
        <x:v>0</x:v>
      </x:c>
      <x:c r="N68" s="22" t="b">
        <x:v>1</x:v>
      </x:c>
      <x:c r="O68" t="str">
        <x:v>food_check</x:v>
      </x:c>
      <x:c r="P68" s="34" t="n">
        <x:f>E68*F68*G68</x:f>
        <x:v>3600</x:v>
      </x:c>
      <x:c r="Q68" s="36" t="str">
        <x:v>synthetic_estimate</x:v>
      </x:c>
      <x:c r="R68" s="20" t="str">
        <x:v>잘 부서지는 포장 과자 가정</x:v>
      </x:c>
    </x:row>
    <x:row r="69" ht="23" customHeight="1">
      <x:c r="A69" t="str">
        <x:v>PRESET_068</x:v>
      </x:c>
      <x:c r="B69" t="str">
        <x:v>초콜릿 선물상자</x:v>
      </x:c>
      <x:c r="C69" t="str">
        <x:v>souvenir</x:v>
      </x:c>
      <x:c r="D69" t="str">
        <x:v>상자 포함</x:v>
      </x:c>
      <x:c r="E69" s="32" t="n">
        <x:v>18</x:v>
      </x:c>
      <x:c r="F69" s="32" t="n">
        <x:v>12</x:v>
      </x:c>
      <x:c r="G69" s="32" t="n">
        <x:v>4</x:v>
      </x:c>
      <x:c r="H69" s="32" t="n">
        <x:v>150</x:v>
      </x:c>
      <x:c r="I69" s="22" t="b">
        <x:v>0</x:v>
      </x:c>
      <x:c r="J69" s="22" t="b">
        <x:v>1</x:v>
      </x:c>
      <x:c r="K69" s="22" t="b">
        <x:v>0</x:v>
      </x:c>
      <x:c r="L69" s="22" t="b">
        <x:v>0</x:v>
      </x:c>
      <x:c r="M69" s="22" t="b">
        <x:v>0</x:v>
      </x:c>
      <x:c r="N69" s="22" t="b">
        <x:v>1</x:v>
      </x:c>
      <x:c r="O69" t="str">
        <x:v>food_check</x:v>
      </x:c>
      <x:c r="P69" s="34" t="n">
        <x:f>E69*F69*G69</x:f>
        <x:v>864</x:v>
      </x:c>
      <x:c r="Q69" s="36" t="str">
        <x:v>synthetic_estimate</x:v>
      </x:c>
      <x:c r="R69" s="20" t="str">
        <x:v>압력과 온도에 주의</x:v>
      </x:c>
    </x:row>
    <x:row r="70" ht="23" customHeight="1">
      <x:c r="A70" t="str">
        <x:v>PRESET_069</x:v>
      </x:c>
      <x:c r="B70" t="str">
        <x:v>머그컵 선물상자</x:v>
      </x:c>
      <x:c r="C70" t="str">
        <x:v>souvenir</x:v>
      </x:c>
      <x:c r="D70" t="str">
        <x:v>완충재 포함</x:v>
      </x:c>
      <x:c r="E70" s="32" t="n">
        <x:v>16</x:v>
      </x:c>
      <x:c r="F70" s="32" t="n">
        <x:v>16</x:v>
      </x:c>
      <x:c r="G70" s="32" t="n">
        <x:v>16</x:v>
      </x:c>
      <x:c r="H70" s="32" t="n">
        <x:v>430</x:v>
      </x:c>
      <x:c r="I70" s="22" t="b">
        <x:v>0</x:v>
      </x:c>
      <x:c r="J70" s="22" t="b">
        <x:v>1</x:v>
      </x:c>
      <x:c r="K70" s="22" t="b">
        <x:v>0</x:v>
      </x:c>
      <x:c r="L70" s="22" t="b">
        <x:v>0</x:v>
      </x:c>
      <x:c r="M70" s="22" t="b">
        <x:v>0</x:v>
      </x:c>
      <x:c r="N70" s="22" t="b">
        <x:v>1</x:v>
      </x:c>
      <x:c r="O70" t="str">
        <x:v>none</x:v>
      </x:c>
      <x:c r="P70" s="34" t="n">
        <x:f>E70*F70*G70</x:f>
        <x:v>4096</x:v>
      </x:c>
      <x:c r="Q70" s="36" t="str">
        <x:v>synthetic_estimate</x:v>
      </x:c>
      <x:c r="R70" s="20" t="str">
        <x:v>포장상자 기준</x:v>
      </x:c>
    </x:row>
    <x:row r="71" ht="23" customHeight="1">
      <x:c r="A71" t="str">
        <x:v>PRESET_070</x:v>
      </x:c>
      <x:c r="B71" t="str">
        <x:v>유리컵 선물상자</x:v>
      </x:c>
      <x:c r="C71" t="str">
        <x:v>souvenir</x:v>
      </x:c>
      <x:c r="D71" t="str">
        <x:v>완충재 포함</x:v>
      </x:c>
      <x:c r="E71" s="32" t="n">
        <x:v>14</x:v>
      </x:c>
      <x:c r="F71" s="32" t="n">
        <x:v>14</x:v>
      </x:c>
      <x:c r="G71" s="32" t="n">
        <x:v>18</x:v>
      </x:c>
      <x:c r="H71" s="32" t="n">
        <x:v>500</x:v>
      </x:c>
      <x:c r="I71" s="22" t="b">
        <x:v>0</x:v>
      </x:c>
      <x:c r="J71" s="22" t="b">
        <x:v>1</x:v>
      </x:c>
      <x:c r="K71" s="22" t="b">
        <x:v>0</x:v>
      </x:c>
      <x:c r="L71" s="22" t="b">
        <x:v>0</x:v>
      </x:c>
      <x:c r="M71" s="22" t="b">
        <x:v>0</x:v>
      </x:c>
      <x:c r="N71" s="22" t="b">
        <x:v>1</x:v>
      </x:c>
      <x:c r="O71" t="str">
        <x:v>none</x:v>
      </x:c>
      <x:c r="P71" s="34" t="n">
        <x:f>E71*F71*G71</x:f>
        <x:v>3528</x:v>
      </x:c>
      <x:c r="Q71" s="36" t="str">
        <x:v>synthetic_estimate</x:v>
      </x:c>
      <x:c r="R71" s="20" t="str">
        <x:v>취급 주의</x:v>
      </x:c>
    </x:row>
    <x:row r="72" ht="23" customHeight="1">
      <x:c r="A72" t="str">
        <x:v>PRESET_071</x:v>
      </x:c>
      <x:c r="B72" t="str">
        <x:v>피규어 상자</x:v>
      </x:c>
      <x:c r="C72" t="str">
        <x:v>souvenir</x:v>
      </x:c>
      <x:c r="D72" t="str">
        <x:v>상자 포함</x:v>
      </x:c>
      <x:c r="E72" s="32" t="n">
        <x:v>22</x:v>
      </x:c>
      <x:c r="F72" s="32" t="n">
        <x:v>16</x:v>
      </x:c>
      <x:c r="G72" s="32" t="n">
        <x:v>13</x:v>
      </x:c>
      <x:c r="H72" s="32" t="n">
        <x:v>330</x:v>
      </x:c>
      <x:c r="I72" s="22" t="b">
        <x:v>0</x:v>
      </x:c>
      <x:c r="J72" s="22" t="b">
        <x:v>1</x:v>
      </x:c>
      <x:c r="K72" s="22" t="b">
        <x:v>0</x:v>
      </x:c>
      <x:c r="L72" s="22" t="b">
        <x:v>0</x:v>
      </x:c>
      <x:c r="M72" s="22" t="b">
        <x:v>0</x:v>
      </x:c>
      <x:c r="N72" s="22" t="b">
        <x:v>1</x:v>
      </x:c>
      <x:c r="O72" t="str">
        <x:v>none</x:v>
      </x:c>
      <x:c r="P72" s="34" t="n">
        <x:f>E72*F72*G72</x:f>
        <x:v>4576</x:v>
      </x:c>
      <x:c r="Q72" s="36" t="str">
        <x:v>synthetic_estimate</x:v>
      </x:c>
      <x:c r="R72" s="20" t="str">
        <x:v>상자 보존 우선</x:v>
      </x:c>
    </x:row>
    <x:row r="73" ht="23" customHeight="1">
      <x:c r="A73" t="str">
        <x:v>PRESET_072</x:v>
      </x:c>
      <x:c r="B73" t="str">
        <x:v>열쇠고리</x:v>
      </x:c>
      <x:c r="C73" t="str">
        <x:v>souvenir</x:v>
      </x:c>
      <x:c r="D73" t="str">
        <x:v>포장 포함</x:v>
      </x:c>
      <x:c r="E73" s="32" t="n">
        <x:v>10</x:v>
      </x:c>
      <x:c r="F73" s="32" t="n">
        <x:v>8</x:v>
      </x:c>
      <x:c r="G73" s="32" t="n">
        <x:v>3</x:v>
      </x:c>
      <x:c r="H73" s="32" t="n">
        <x:v>30</x:v>
      </x:c>
      <x:c r="I73" s="22" t="b">
        <x:v>0</x:v>
      </x:c>
      <x:c r="J73" s="22" t="b">
        <x:v>0</x:v>
      </x:c>
      <x:c r="K73" s="22" t="b">
        <x:v>0</x:v>
      </x:c>
      <x:c r="L73" s="22" t="b">
        <x:v>1</x:v>
      </x:c>
      <x:c r="M73" s="22" t="b">
        <x:v>0</x:v>
      </x:c>
      <x:c r="N73" s="22" t="b">
        <x:v>1</x:v>
      </x:c>
      <x:c r="O73" t="str">
        <x:v>none</x:v>
      </x:c>
      <x:c r="P73" s="34" t="n">
        <x:f>E73*F73*G73</x:f>
        <x:v>240</x:v>
      </x:c>
      <x:c r="Q73" s="36" t="str">
        <x:v>synthetic_estimate</x:v>
      </x:c>
      <x:c r="R73" s="20" t="str">
        <x:v>소형 잡화</x:v>
      </x:c>
    </x:row>
    <x:row r="74" ht="23" customHeight="1">
      <x:c r="A74" t="str">
        <x:v>PRESET_073</x:v>
      </x:c>
      <x:c r="B74" t="str">
        <x:v>기념 티셔츠</x:v>
      </x:c>
      <x:c r="C74" t="str">
        <x:v>souvenir</x:v>
      </x:c>
      <x:c r="D74" t="str">
        <x:v>접은 상태</x:v>
      </x:c>
      <x:c r="E74" s="32" t="n">
        <x:v>25</x:v>
      </x:c>
      <x:c r="F74" s="32" t="n">
        <x:v>20</x:v>
      </x:c>
      <x:c r="G74" s="32" t="n">
        <x:v>3</x:v>
      </x:c>
      <x:c r="H74" s="32" t="n">
        <x:v>200</x:v>
      </x:c>
      <x:c r="I74" s="22" t="b">
        <x:v>1</x:v>
      </x:c>
      <x:c r="J74" s="22" t="b">
        <x:v>0</x:v>
      </x:c>
      <x:c r="K74" s="22" t="b">
        <x:v>1</x:v>
      </x:c>
      <x:c r="L74" s="22" t="b">
        <x:v>1</x:v>
      </x:c>
      <x:c r="M74" s="22" t="b">
        <x:v>0</x:v>
      </x:c>
      <x:c r="N74" s="22" t="b">
        <x:v>1</x:v>
      </x:c>
      <x:c r="O74" t="str">
        <x:v>none</x:v>
      </x:c>
      <x:c r="P74" s="34" t="n">
        <x:f>E74*F74*G74</x:f>
        <x:v>1500</x:v>
      </x:c>
      <x:c r="Q74" s="36" t="str">
        <x:v>synthetic_estimate</x:v>
      </x:c>
      <x:c r="R74" s="20" t="str">
        <x:v>쇼핑 후 추가</x:v>
      </x:c>
    </x:row>
    <x:row r="75" ht="23" customHeight="1">
      <x:c r="A75" t="str">
        <x:v>PRESET_074</x:v>
      </x:c>
      <x:c r="B75" t="str">
        <x:v>음료 병</x:v>
      </x:c>
      <x:c r="C75" t="str">
        <x:v>souvenir</x:v>
      </x:c>
      <x:c r="D75" t="str">
        <x:v>병 그대로</x:v>
      </x:c>
      <x:c r="E75" s="32" t="n">
        <x:v>8</x:v>
      </x:c>
      <x:c r="F75" s="32" t="n">
        <x:v>8</x:v>
      </x:c>
      <x:c r="G75" s="32" t="n">
        <x:v>25</x:v>
      </x:c>
      <x:c r="H75" s="32" t="n">
        <x:v>550</x:v>
      </x:c>
      <x:c r="I75" s="22" t="b">
        <x:v>0</x:v>
      </x:c>
      <x:c r="J75" s="22" t="b">
        <x:v>1</x:v>
      </x:c>
      <x:c r="K75" s="22" t="b">
        <x:v>0</x:v>
      </x:c>
      <x:c r="L75" s="22" t="b">
        <x:v>0</x:v>
      </x:c>
      <x:c r="M75" s="22" t="b">
        <x:v>1</x:v>
      </x:c>
      <x:c r="N75" s="22" t="b">
        <x:v>0</x:v>
      </x:c>
      <x:c r="O75" t="str">
        <x:v>liquid_check</x:v>
      </x:c>
      <x:c r="P75" s="34" t="n">
        <x:f>E75*F75*G75</x:f>
        <x:v>1600</x:v>
      </x:c>
      <x:c r="Q75" s="36" t="str">
        <x:v>synthetic_estimate</x:v>
      </x:c>
      <x:c r="R75" s="20" t="str">
        <x:v>밀봉 및 항공 규정 확인</x:v>
      </x:c>
    </x:row>
  </x:sheetData>
  <x:pageMargins left="0.7" right="0.7" top="0.75" bottom="0.75" header="0.3" footer="0.3"/>
  <x:tableParts count="1">
    <x:tablePart xmlns:r="http://schemas.openxmlformats.org/officeDocument/2006/relationships" r:id="Rb25885ca3e3f4c4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5" hidden="0" customWidth="1"/>
    <x:col min="8" max="8" width="63" hidden="0" customWidth="1"/>
    <x:col min="9" max="9" width="18" hidden="0" customWidth="1"/>
    <x:col min="10" max="10" width="18" hidden="0" customWidth="1"/>
    <x:col min="11" max="11" width="23" hidden="0" customWidth="1"/>
  </x:cols>
  <x:sheetData>
    <x:row r="1" ht="30" customHeight="1">
      <x:c r="A1" s="28" t="str">
        <x:v>scenario_id</x:v>
      </x:c>
      <x:c r="B1" s="28" t="str">
        <x:v>name_ko</x:v>
      </x:c>
      <x:c r="C1" s="28" t="str">
        <x:v>inner_width_cm</x:v>
      </x:c>
      <x:c r="D1" s="28" t="str">
        <x:v>inner_length_cm</x:v>
      </x:c>
      <x:c r="E1" s="28" t="str">
        <x:v>inner_height_cm</x:v>
      </x:c>
      <x:c r="F1" s="28" t="str">
        <x:v>max_weight_g</x:v>
      </x:c>
      <x:c r="G1" s="28" t="str">
        <x:v>expected_result</x:v>
      </x:c>
      <x:c r="H1" s="28" t="str">
        <x:v>notes</x:v>
      </x:c>
      <x:c r="I1" s="28" t="str">
        <x:v>capacity_cm3</x:v>
      </x:c>
      <x:c r="J1" s="28" t="str">
        <x:v>items_cm3</x:v>
      </x:c>
      <x:c r="K1" s="28" t="str">
        <x:v>volume_lower_bound_ratio</x:v>
      </x:c>
    </x:row>
    <x:row r="2" ht="38" customHeight="1">
      <x:c r="A2" t="str">
        <x:v>S01</x:v>
      </x:c>
      <x:c r="B2" t="str">
        <x:v>기본 출국 · 20인치</x:v>
      </x:c>
      <x:c r="C2" t="n">
        <x:v>36</x:v>
      </x:c>
      <x:c r="D2" t="n">
        <x:v>50</x:v>
      </x:c>
      <x:c r="E2" t="n">
        <x:v>21</x:v>
      </x:c>
      <x:c r="F2" t="n">
        <x:v>10000</x:v>
      </x:c>
      <x:c r="G2" t="str">
        <x:v>배치 가능성 테스트</x:v>
      </x:c>
      <x:c r="H2" s="20" t="str">
        <x:v>부피가 남아도 실제 배치 가능 여부는 알고리즘 결과로 확인</x:v>
      </x:c>
      <x:c r="I2" t="n">
        <x:f>C2*D2*E2</x:f>
        <x:v>37800</x:v>
      </x:c>
      <x:c r="J2" t="n">
        <x:f>SUMIF(시나리오물건!$A$2:$A$50,A2,시나리오물건!$J$2:$J$50)</x:f>
        <x:v>28775</x:v>
      </x:c>
      <x:c r="K2" s="38" t="n">
        <x:f>IF(I2=0,0,J2/I2)</x:f>
        <x:v>0.7612433862433863</x:v>
      </x:c>
    </x:row>
    <x:row r="3" ht="38" customHeight="1">
      <x:c r="A3" t="str">
        <x:v>S02</x:v>
      </x:c>
      <x:c r="B3" t="str">
        <x:v>기념품 추가 · 20인치</x:v>
      </x:c>
      <x:c r="C3" t="n">
        <x:v>36</x:v>
      </x:c>
      <x:c r="D3" t="n">
        <x:v>50</x:v>
      </x:c>
      <x:c r="E3" t="n">
        <x:v>21</x:v>
      </x:c>
      <x:c r="F3" t="n">
        <x:v>10000</x:v>
      </x:c>
      <x:c r="G3" t="str">
        <x:v>부피 초과 테스트</x:v>
      </x:c>
      <x:c r="H3" s="20" t="str">
        <x:v>출국 짐에 기념품을 대량 추가한 가상 상황</x:v>
      </x:c>
      <x:c r="I3" t="n">
        <x:f>C3*D3*E3</x:f>
        <x:v>37800</x:v>
      </x:c>
      <x:c r="J3" t="n">
        <x:f>SUMIF(시나리오물건!$A$2:$A$50,A3,시나리오물건!$J$2:$J$50)</x:f>
        <x:v>63447</x:v>
      </x:c>
      <x:c r="K3" s="38" t="n">
        <x:f>IF(I3=0,0,J3/I3)</x:f>
        <x:v>1.6784920634920635</x:v>
      </x:c>
    </x:row>
    <x:row r="4" ht="38" customHeight="1">
      <x:c r="A4" t="str">
        <x:v>S03</x:v>
      </x:c>
      <x:c r="B4" t="str">
        <x:v>긴 여행 · 24인치</x:v>
      </x:c>
      <x:c r="C4" t="n">
        <x:v>43</x:v>
      </x:c>
      <x:c r="D4" t="n">
        <x:v>62</x:v>
      </x:c>
      <x:c r="E4" t="n">
        <x:v>26</x:v>
      </x:c>
      <x:c r="F4" t="n">
        <x:v>23000</x:v>
      </x:c>
      <x:c r="G4" t="str">
        <x:v>대용량 테스트</x:v>
      </x:c>
      <x:c r="H4" s="20" t="str">
        <x:v>다양한 물건 종류 및 깨지기 쉬운 물건 혼합</x:v>
      </x:c>
      <x:c r="I4" t="n">
        <x:f>C4*D4*E4</x:f>
        <x:v>69316</x:v>
      </x:c>
      <x:c r="J4" t="n">
        <x:f>SUMIF(시나리오물건!$A$2:$A$50,A4,시나리오물건!$J$2:$J$50)</x:f>
        <x:v>65230</x:v>
      </x:c>
      <x:c r="K4" s="38" t="n">
        <x:f>IF(I4=0,0,J4/I4)</x:f>
        <x:v>0.9410525708350165</x:v>
      </x:c>
    </x:row>
    <x:row r="5" ht="38" customHeight="1">
      <x:c r="A5" t="str">
        <x:v>S04</x:v>
      </x:c>
      <x:c r="B5" t="str">
        <x:v>긴 물건 · 20인치</x:v>
      </x:c>
      <x:c r="C5" t="n">
        <x:v>36</x:v>
      </x:c>
      <x:c r="D5" t="n">
        <x:v>50</x:v>
      </x:c>
      <x:c r="E5" t="n">
        <x:v>21</x:v>
      </x:c>
      <x:c r="F5" t="n">
        <x:v>10000</x:v>
      </x:c>
      <x:c r="G5" t="str">
        <x:v>회전해도 들어가지 않는 물건 테스트</x:v>
      </x:c>
      <x:c r="H5" s="20" t="str">
        <x:v>긴 포스터 튜브 58cm: 직교 회전만 허용하면 길이 초과</x:v>
      </x:c>
      <x:c r="I5" t="n">
        <x:f>C5*D5*E5</x:f>
        <x:v>37800</x:v>
      </x:c>
      <x:c r="J5" t="n">
        <x:f>SUMIF(시나리오물건!$A$2:$A$50,A5,시나리오물건!$J$2:$J$50)</x:f>
        <x:v>9042</x:v>
      </x:c>
      <x:c r="K5" s="38" t="n">
        <x:f>IF(I5=0,0,J5/I5)</x:f>
        <x:v>0.2392063492063492</x:v>
      </x:c>
    </x:row>
  </x:sheetData>
  <x:conditionalFormatting sqref="K2:K5">
    <x:cfRule type="cellIs" dxfId="0" priority="1" operator="greater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7db83a055c4fa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6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23" hidden="0" customWidth="1"/>
    <x:col min="10" max="10" width="23" hidden="0" customWidth="1"/>
    <x:col min="11" max="11" width="35" hidden="0" customWidth="1"/>
  </x:cols>
  <x:sheetData>
    <x:row r="1" ht="30" customHeight="1">
      <x:c r="A1" s="28" t="str">
        <x:v>scenario_id</x:v>
      </x:c>
      <x:c r="B1" s="28" t="str">
        <x:v>preset_id</x:v>
      </x:c>
      <x:c r="C1" s="28" t="str">
        <x:v>item_name</x:v>
      </x:c>
      <x:c r="D1" s="28" t="str">
        <x:v>quantity</x:v>
      </x:c>
      <x:c r="E1" s="28" t="str">
        <x:v>width_cm</x:v>
      </x:c>
      <x:c r="F1" s="28" t="str">
        <x:v>length_cm</x:v>
      </x:c>
      <x:c r="G1" s="28" t="str">
        <x:v>height_cm</x:v>
      </x:c>
      <x:c r="H1" s="28" t="str">
        <x:v>unit_weight_g</x:v>
      </x:c>
      <x:c r="I1" s="28" t="str">
        <x:v>unit_volume_cm3</x:v>
      </x:c>
      <x:c r="J1" s="28" t="str">
        <x:v>total_volume_cm3</x:v>
      </x:c>
      <x:c r="K1" s="28" t="str">
        <x:v>notes</x:v>
      </x:c>
    </x:row>
    <x:row r="2" ht="23" customHeight="1">
      <x:c r="A2" t="str">
        <x:v>S01</x:v>
      </x:c>
      <x:c r="B2" t="str">
        <x:v>PRESET_001</x:v>
      </x:c>
      <x:c r="C2" t="str">
        <x:v>티셔츠</x:v>
      </x:c>
      <x:c r="D2" t="n">
        <x:v>3</x:v>
      </x:c>
      <x:c r="E2" t="n">
        <x:v>25</x:v>
      </x:c>
      <x:c r="F2" t="n">
        <x:v>20</x:v>
      </x:c>
      <x:c r="G2" t="n">
        <x:v>3</x:v>
      </x:c>
      <x:c r="H2" t="n">
        <x:v>200</x:v>
      </x:c>
      <x:c r="I2" s="34" t="n">
        <x:f>E2*F2*G2</x:f>
        <x:v>1500</x:v>
      </x:c>
      <x:c r="J2" s="34" t="n">
        <x:f>D2*I2</x:f>
        <x:v>4500</x:v>
      </x:c>
      <x:c r="K2" t="str">
        <x:v>데모 데이터; 실제 실측 아님</x:v>
      </x:c>
    </x:row>
    <x:row r="3" ht="23" customHeight="1">
      <x:c r="A3" t="str">
        <x:v>S01</x:v>
      </x:c>
      <x:c r="B3" t="str">
        <x:v>PRESET_005</x:v>
      </x:c>
      <x:c r="C3" t="str">
        <x:v>청바지</x:v>
      </x:c>
      <x:c r="D3" t="n">
        <x:v>1</x:v>
      </x:c>
      <x:c r="E3" t="n">
        <x:v>30</x:v>
      </x:c>
      <x:c r="F3" t="n">
        <x:v>25</x:v>
      </x:c>
      <x:c r="G3" t="n">
        <x:v>6</x:v>
      </x:c>
      <x:c r="H3" t="n">
        <x:v>750</x:v>
      </x:c>
      <x:c r="I3" s="34" t="n">
        <x:f>E3*F3*G3</x:f>
        <x:v>4500</x:v>
      </x:c>
      <x:c r="J3" s="34" t="n">
        <x:f>D3*I3</x:f>
        <x:v>4500</x:v>
      </x:c>
      <x:c r="K3" t="str">
        <x:v>데모 데이터; 실제 실측 아님</x:v>
      </x:c>
    </x:row>
    <x:row r="4" ht="23" customHeight="1">
      <x:c r="A4" t="str">
        <x:v>S01</x:v>
      </x:c>
      <x:c r="B4" t="str">
        <x:v>PRESET_007</x:v>
      </x:c>
      <x:c r="C4" t="str">
        <x:v>반바지</x:v>
      </x:c>
      <x:c r="D4" t="n">
        <x:v>1</x:v>
      </x:c>
      <x:c r="E4" t="n">
        <x:v>25</x:v>
      </x:c>
      <x:c r="F4" t="n">
        <x:v>20</x:v>
      </x:c>
      <x:c r="G4" t="n">
        <x:v>4</x:v>
      </x:c>
      <x:c r="H4" t="n">
        <x:v>250</x:v>
      </x:c>
      <x:c r="I4" s="34" t="n">
        <x:f>E4*F4*G4</x:f>
        <x:v>2000</x:v>
      </x:c>
      <x:c r="J4" s="34" t="n">
        <x:f>D4*I4</x:f>
        <x:v>2000</x:v>
      </x:c>
      <x:c r="K4" t="str">
        <x:v>데모 데이터; 실제 실측 아님</x:v>
      </x:c>
    </x:row>
    <x:row r="5" ht="23" customHeight="1">
      <x:c r="A5" t="str">
        <x:v>S01</x:v>
      </x:c>
      <x:c r="B5" t="str">
        <x:v>PRESET_017</x:v>
      </x:c>
      <x:c r="C5" t="str">
        <x:v>속옷 1개</x:v>
      </x:c>
      <x:c r="D5" t="n">
        <x:v>3</x:v>
      </x:c>
      <x:c r="E5" t="n">
        <x:v>15</x:v>
      </x:c>
      <x:c r="F5" t="n">
        <x:v>12</x:v>
      </x:c>
      <x:c r="G5" t="n">
        <x:v>2</x:v>
      </x:c>
      <x:c r="H5" t="n">
        <x:v>70</x:v>
      </x:c>
      <x:c r="I5" s="34" t="n">
        <x:f>E5*F5*G5</x:f>
        <x:v>360</x:v>
      </x:c>
      <x:c r="J5" s="34" t="n">
        <x:f>D5*I5</x:f>
        <x:v>1080</x:v>
      </x:c>
      <x:c r="K5" t="str">
        <x:v>데모 데이터; 실제 실측 아님</x:v>
      </x:c>
    </x:row>
    <x:row r="6" ht="23" customHeight="1">
      <x:c r="A6" t="str">
        <x:v>S01</x:v>
      </x:c>
      <x:c r="B6" t="str">
        <x:v>PRESET_018</x:v>
      </x:c>
      <x:c r="C6" t="str">
        <x:v>양말 1켤레</x:v>
      </x:c>
      <x:c r="D6" t="n">
        <x:v>3</x:v>
      </x:c>
      <x:c r="E6" t="n">
        <x:v>12</x:v>
      </x:c>
      <x:c r="F6" t="n">
        <x:v>9</x:v>
      </x:c>
      <x:c r="G6" t="n">
        <x:v>4</x:v>
      </x:c>
      <x:c r="H6" t="n">
        <x:v>60</x:v>
      </x:c>
      <x:c r="I6" s="34" t="n">
        <x:f>E6*F6*G6</x:f>
        <x:v>432</x:v>
      </x:c>
      <x:c r="J6" s="34" t="n">
        <x:f>D6*I6</x:f>
        <x:v>1296</x:v>
      </x:c>
      <x:c r="K6" t="str">
        <x:v>데모 데이터; 실제 실측 아님</x:v>
      </x:c>
    </x:row>
    <x:row r="7" ht="23" customHeight="1">
      <x:c r="A7" t="str">
        <x:v>S01</x:v>
      </x:c>
      <x:c r="B7" t="str">
        <x:v>PRESET_026</x:v>
      </x:c>
      <x:c r="C7" t="str">
        <x:v>운동화 한 켤레</x:v>
      </x:c>
      <x:c r="D7" t="n">
        <x:v>1</x:v>
      </x:c>
      <x:c r="E7" t="n">
        <x:v>34</x:v>
      </x:c>
      <x:c r="F7" t="n">
        <x:v>23</x:v>
      </x:c>
      <x:c r="G7" t="n">
        <x:v>13</x:v>
      </x:c>
      <x:c r="H7" t="n">
        <x:v>800</x:v>
      </x:c>
      <x:c r="I7" s="34" t="n">
        <x:f>E7*F7*G7</x:f>
        <x:v>10166</x:v>
      </x:c>
      <x:c r="J7" s="34" t="n">
        <x:f>D7*I7</x:f>
        <x:v>10166</x:v>
      </x:c>
      <x:c r="K7" t="str">
        <x:v>데모 데이터; 실제 실측 아님</x:v>
      </x:c>
    </x:row>
    <x:row r="8" ht="23" customHeight="1">
      <x:c r="A8" t="str">
        <x:v>S01</x:v>
      </x:c>
      <x:c r="B8" t="str">
        <x:v>PRESET_051</x:v>
      </x:c>
      <x:c r="C8" t="str">
        <x:v>충전기+케이블</x:v>
      </x:c>
      <x:c r="D8" t="n">
        <x:v>1</x:v>
      </x:c>
      <x:c r="E8" t="n">
        <x:v>12</x:v>
      </x:c>
      <x:c r="F8" t="n">
        <x:v>8</x:v>
      </x:c>
      <x:c r="G8" t="n">
        <x:v>5</x:v>
      </x:c>
      <x:c r="H8" t="n">
        <x:v>180</x:v>
      </x:c>
      <x:c r="I8" s="34" t="n">
        <x:f>E8*F8*G8</x:f>
        <x:v>480</x:v>
      </x:c>
      <x:c r="J8" s="34" t="n">
        <x:f>D8*I8</x:f>
        <x:v>480</x:v>
      </x:c>
      <x:c r="K8" t="str">
        <x:v>데모 데이터; 실제 실측 아님</x:v>
      </x:c>
    </x:row>
    <x:row r="9" ht="23" customHeight="1">
      <x:c r="A9" t="str">
        <x:v>S01</x:v>
      </x:c>
      <x:c r="B9" t="str">
        <x:v>PRESET_036</x:v>
      </x:c>
      <x:c r="C9" t="str">
        <x:v>칫솔 케이스</x:v>
      </x:c>
      <x:c r="D9" t="n">
        <x:v>1</x:v>
      </x:c>
      <x:c r="E9" t="n">
        <x:v>22</x:v>
      </x:c>
      <x:c r="F9" t="n">
        <x:v>4</x:v>
      </x:c>
      <x:c r="G9" t="n">
        <x:v>3</x:v>
      </x:c>
      <x:c r="H9" t="n">
        <x:v>80</x:v>
      </x:c>
      <x:c r="I9" s="34" t="n">
        <x:f>E9*F9*G9</x:f>
        <x:v>264</x:v>
      </x:c>
      <x:c r="J9" s="34" t="n">
        <x:f>D9*I9</x:f>
        <x:v>264</x:v>
      </x:c>
      <x:c r="K9" t="str">
        <x:v>데모 데이터; 실제 실측 아님</x:v>
      </x:c>
    </x:row>
    <x:row r="10" ht="23" customHeight="1">
      <x:c r="A10" t="str">
        <x:v>S01</x:v>
      </x:c>
      <x:c r="B10" t="str">
        <x:v>PRESET_032</x:v>
      </x:c>
      <x:c r="C10" t="str">
        <x:v>여행용 샴푸</x:v>
      </x:c>
      <x:c r="D10" t="n">
        <x:v>1</x:v>
      </x:c>
      <x:c r="E10" t="n">
        <x:v>5</x:v>
      </x:c>
      <x:c r="F10" t="n">
        <x:v>5</x:v>
      </x:c>
      <x:c r="G10" t="n">
        <x:v>13</x:v>
      </x:c>
      <x:c r="H10" t="n">
        <x:v>150</x:v>
      </x:c>
      <x:c r="I10" s="34" t="n">
        <x:f>E10*F10*G10</x:f>
        <x:v>325</x:v>
      </x:c>
      <x:c r="J10" s="34" t="n">
        <x:f>D10*I10</x:f>
        <x:v>325</x:v>
      </x:c>
      <x:c r="K10" t="str">
        <x:v>데모 데이터; 실제 실측 아님</x:v>
      </x:c>
    </x:row>
    <x:row r="11" ht="23" customHeight="1">
      <x:c r="A11" t="str">
        <x:v>S01</x:v>
      </x:c>
      <x:c r="B11" t="str">
        <x:v>PRESET_039</x:v>
      </x:c>
      <x:c r="C11" t="str">
        <x:v>선크림</x:v>
      </x:c>
      <x:c r="D11" t="n">
        <x:v>1</x:v>
      </x:c>
      <x:c r="E11" t="n">
        <x:v>5</x:v>
      </x:c>
      <x:c r="F11" t="n">
        <x:v>4</x:v>
      </x:c>
      <x:c r="G11" t="n">
        <x:v>12</x:v>
      </x:c>
      <x:c r="H11" t="n">
        <x:v>110</x:v>
      </x:c>
      <x:c r="I11" s="34" t="n">
        <x:f>E11*F11*G11</x:f>
        <x:v>240</x:v>
      </x:c>
      <x:c r="J11" s="34" t="n">
        <x:f>D11*I11</x:f>
        <x:v>240</x:v>
      </x:c>
      <x:c r="K11" t="str">
        <x:v>데모 데이터; 실제 실측 아님</x:v>
      </x:c>
    </x:row>
    <x:row r="12" ht="23" customHeight="1">
      <x:c r="A12" t="str">
        <x:v>S01</x:v>
      </x:c>
      <x:c r="B12" t="str">
        <x:v>PRESET_020</x:v>
      </x:c>
      <x:c r="C12" t="str">
        <x:v>일반 수건</x:v>
      </x:c>
      <x:c r="D12" t="n">
        <x:v>1</x:v>
      </x:c>
      <x:c r="E12" t="n">
        <x:v>28</x:v>
      </x:c>
      <x:c r="F12" t="n">
        <x:v>18</x:v>
      </x:c>
      <x:c r="G12" t="n">
        <x:v>6</x:v>
      </x:c>
      <x:c r="H12" t="n">
        <x:v>300</x:v>
      </x:c>
      <x:c r="I12" s="34" t="n">
        <x:f>E12*F12*G12</x:f>
        <x:v>3024</x:v>
      </x:c>
      <x:c r="J12" s="34" t="n">
        <x:f>D12*I12</x:f>
        <x:v>3024</x:v>
      </x:c>
      <x:c r="K12" t="str">
        <x:v>데모 데이터; 실제 실측 아님</x:v>
      </x:c>
    </x:row>
    <x:row r="13" ht="23" customHeight="1">
      <x:c r="A13" t="str">
        <x:v>S01</x:v>
      </x:c>
      <x:c r="B13" t="str">
        <x:v>PRESET_061</x:v>
      </x:c>
      <x:c r="C13" t="str">
        <x:v>세탁물 파우치</x:v>
      </x:c>
      <x:c r="D13" t="n">
        <x:v>1</x:v>
      </x:c>
      <x:c r="E13" t="n">
        <x:v>25</x:v>
      </x:c>
      <x:c r="F13" t="n">
        <x:v>18</x:v>
      </x:c>
      <x:c r="G13" t="n">
        <x:v>2</x:v>
      </x:c>
      <x:c r="H13" t="n">
        <x:v>100</x:v>
      </x:c>
      <x:c r="I13" s="34" t="n">
        <x:f>E13*F13*G13</x:f>
        <x:v>900</x:v>
      </x:c>
      <x:c r="J13" s="34" t="n">
        <x:f>D13*I13</x:f>
        <x:v>900</x:v>
      </x:c>
      <x:c r="K13" t="str">
        <x:v>데모 데이터; 실제 실측 아님</x:v>
      </x:c>
    </x:row>
    <x:row r="14" ht="23" customHeight="1">
      <x:c r="A14" t="str">
        <x:v>S02</x:v>
      </x:c>
      <x:c r="B14" t="str">
        <x:v>PRESET_001</x:v>
      </x:c>
      <x:c r="C14" t="str">
        <x:v>티셔츠</x:v>
      </x:c>
      <x:c r="D14" t="n">
        <x:v>3</x:v>
      </x:c>
      <x:c r="E14" t="n">
        <x:v>25</x:v>
      </x:c>
      <x:c r="F14" t="n">
        <x:v>20</x:v>
      </x:c>
      <x:c r="G14" t="n">
        <x:v>3</x:v>
      </x:c>
      <x:c r="H14" t="n">
        <x:v>200</x:v>
      </x:c>
      <x:c r="I14" s="34" t="n">
        <x:f>E14*F14*G14</x:f>
        <x:v>1500</x:v>
      </x:c>
      <x:c r="J14" s="34" t="n">
        <x:f>D14*I14</x:f>
        <x:v>4500</x:v>
      </x:c>
      <x:c r="K14" t="str">
        <x:v>데모 데이터; 실제 실측 아님</x:v>
      </x:c>
    </x:row>
    <x:row r="15" ht="23" customHeight="1">
      <x:c r="A15" t="str">
        <x:v>S02</x:v>
      </x:c>
      <x:c r="B15" t="str">
        <x:v>PRESET_005</x:v>
      </x:c>
      <x:c r="C15" t="str">
        <x:v>청바지</x:v>
      </x:c>
      <x:c r="D15" t="n">
        <x:v>1</x:v>
      </x:c>
      <x:c r="E15" t="n">
        <x:v>30</x:v>
      </x:c>
      <x:c r="F15" t="n">
        <x:v>25</x:v>
      </x:c>
      <x:c r="G15" t="n">
        <x:v>6</x:v>
      </x:c>
      <x:c r="H15" t="n">
        <x:v>750</x:v>
      </x:c>
      <x:c r="I15" s="34" t="n">
        <x:f>E15*F15*G15</x:f>
        <x:v>4500</x:v>
      </x:c>
      <x:c r="J15" s="34" t="n">
        <x:f>D15*I15</x:f>
        <x:v>4500</x:v>
      </x:c>
      <x:c r="K15" t="str">
        <x:v>데모 데이터; 실제 실측 아님</x:v>
      </x:c>
    </x:row>
    <x:row r="16" ht="23" customHeight="1">
      <x:c r="A16" t="str">
        <x:v>S02</x:v>
      </x:c>
      <x:c r="B16" t="str">
        <x:v>PRESET_007</x:v>
      </x:c>
      <x:c r="C16" t="str">
        <x:v>반바지</x:v>
      </x:c>
      <x:c r="D16" t="n">
        <x:v>1</x:v>
      </x:c>
      <x:c r="E16" t="n">
        <x:v>25</x:v>
      </x:c>
      <x:c r="F16" t="n">
        <x:v>20</x:v>
      </x:c>
      <x:c r="G16" t="n">
        <x:v>4</x:v>
      </x:c>
      <x:c r="H16" t="n">
        <x:v>250</x:v>
      </x:c>
      <x:c r="I16" s="34" t="n">
        <x:f>E16*F16*G16</x:f>
        <x:v>2000</x:v>
      </x:c>
      <x:c r="J16" s="34" t="n">
        <x:f>D16*I16</x:f>
        <x:v>2000</x:v>
      </x:c>
      <x:c r="K16" t="str">
        <x:v>데모 데이터; 실제 실측 아님</x:v>
      </x:c>
    </x:row>
    <x:row r="17" ht="23" customHeight="1">
      <x:c r="A17" t="str">
        <x:v>S02</x:v>
      </x:c>
      <x:c r="B17" t="str">
        <x:v>PRESET_017</x:v>
      </x:c>
      <x:c r="C17" t="str">
        <x:v>속옷 1개</x:v>
      </x:c>
      <x:c r="D17" t="n">
        <x:v>3</x:v>
      </x:c>
      <x:c r="E17" t="n">
        <x:v>15</x:v>
      </x:c>
      <x:c r="F17" t="n">
        <x:v>12</x:v>
      </x:c>
      <x:c r="G17" t="n">
        <x:v>2</x:v>
      </x:c>
      <x:c r="H17" t="n">
        <x:v>70</x:v>
      </x:c>
      <x:c r="I17" s="34" t="n">
        <x:f>E17*F17*G17</x:f>
        <x:v>360</x:v>
      </x:c>
      <x:c r="J17" s="34" t="n">
        <x:f>D17*I17</x:f>
        <x:v>1080</x:v>
      </x:c>
      <x:c r="K17" t="str">
        <x:v>데모 데이터; 실제 실측 아님</x:v>
      </x:c>
    </x:row>
    <x:row r="18" ht="23" customHeight="1">
      <x:c r="A18" t="str">
        <x:v>S02</x:v>
      </x:c>
      <x:c r="B18" t="str">
        <x:v>PRESET_018</x:v>
      </x:c>
      <x:c r="C18" t="str">
        <x:v>양말 1켤레</x:v>
      </x:c>
      <x:c r="D18" t="n">
        <x:v>3</x:v>
      </x:c>
      <x:c r="E18" t="n">
        <x:v>12</x:v>
      </x:c>
      <x:c r="F18" t="n">
        <x:v>9</x:v>
      </x:c>
      <x:c r="G18" t="n">
        <x:v>4</x:v>
      </x:c>
      <x:c r="H18" t="n">
        <x:v>60</x:v>
      </x:c>
      <x:c r="I18" s="34" t="n">
        <x:f>E18*F18*G18</x:f>
        <x:v>432</x:v>
      </x:c>
      <x:c r="J18" s="34" t="n">
        <x:f>D18*I18</x:f>
        <x:v>1296</x:v>
      </x:c>
      <x:c r="K18" t="str">
        <x:v>데모 데이터; 실제 실측 아님</x:v>
      </x:c>
    </x:row>
    <x:row r="19" ht="23" customHeight="1">
      <x:c r="A19" t="str">
        <x:v>S02</x:v>
      </x:c>
      <x:c r="B19" t="str">
        <x:v>PRESET_026</x:v>
      </x:c>
      <x:c r="C19" t="str">
        <x:v>운동화 한 켤레</x:v>
      </x:c>
      <x:c r="D19" t="n">
        <x:v>1</x:v>
      </x:c>
      <x:c r="E19" t="n">
        <x:v>34</x:v>
      </x:c>
      <x:c r="F19" t="n">
        <x:v>23</x:v>
      </x:c>
      <x:c r="G19" t="n">
        <x:v>13</x:v>
      </x:c>
      <x:c r="H19" t="n">
        <x:v>800</x:v>
      </x:c>
      <x:c r="I19" s="34" t="n">
        <x:f>E19*F19*G19</x:f>
        <x:v>10166</x:v>
      </x:c>
      <x:c r="J19" s="34" t="n">
        <x:f>D19*I19</x:f>
        <x:v>10166</x:v>
      </x:c>
      <x:c r="K19" t="str">
        <x:v>데모 데이터; 실제 실측 아님</x:v>
      </x:c>
    </x:row>
    <x:row r="20" ht="23" customHeight="1">
      <x:c r="A20" t="str">
        <x:v>S02</x:v>
      </x:c>
      <x:c r="B20" t="str">
        <x:v>PRESET_051</x:v>
      </x:c>
      <x:c r="C20" t="str">
        <x:v>충전기+케이블</x:v>
      </x:c>
      <x:c r="D20" t="n">
        <x:v>1</x:v>
      </x:c>
      <x:c r="E20" t="n">
        <x:v>12</x:v>
      </x:c>
      <x:c r="F20" t="n">
        <x:v>8</x:v>
      </x:c>
      <x:c r="G20" t="n">
        <x:v>5</x:v>
      </x:c>
      <x:c r="H20" t="n">
        <x:v>180</x:v>
      </x:c>
      <x:c r="I20" s="34" t="n">
        <x:f>E20*F20*G20</x:f>
        <x:v>480</x:v>
      </x:c>
      <x:c r="J20" s="34" t="n">
        <x:f>D20*I20</x:f>
        <x:v>480</x:v>
      </x:c>
      <x:c r="K20" t="str">
        <x:v>데모 데이터; 실제 실측 아님</x:v>
      </x:c>
    </x:row>
    <x:row r="21" ht="23" customHeight="1">
      <x:c r="A21" t="str">
        <x:v>S02</x:v>
      </x:c>
      <x:c r="B21" t="str">
        <x:v>PRESET_036</x:v>
      </x:c>
      <x:c r="C21" t="str">
        <x:v>칫솔 케이스</x:v>
      </x:c>
      <x:c r="D21" t="n">
        <x:v>1</x:v>
      </x:c>
      <x:c r="E21" t="n">
        <x:v>22</x:v>
      </x:c>
      <x:c r="F21" t="n">
        <x:v>4</x:v>
      </x:c>
      <x:c r="G21" t="n">
        <x:v>3</x:v>
      </x:c>
      <x:c r="H21" t="n">
        <x:v>80</x:v>
      </x:c>
      <x:c r="I21" s="34" t="n">
        <x:f>E21*F21*G21</x:f>
        <x:v>264</x:v>
      </x:c>
      <x:c r="J21" s="34" t="n">
        <x:f>D21*I21</x:f>
        <x:v>264</x:v>
      </x:c>
      <x:c r="K21" t="str">
        <x:v>데모 데이터; 실제 실측 아님</x:v>
      </x:c>
    </x:row>
    <x:row r="22" ht="23" customHeight="1">
      <x:c r="A22" t="str">
        <x:v>S02</x:v>
      </x:c>
      <x:c r="B22" t="str">
        <x:v>PRESET_032</x:v>
      </x:c>
      <x:c r="C22" t="str">
        <x:v>여행용 샴푸</x:v>
      </x:c>
      <x:c r="D22" t="n">
        <x:v>1</x:v>
      </x:c>
      <x:c r="E22" t="n">
        <x:v>5</x:v>
      </x:c>
      <x:c r="F22" t="n">
        <x:v>5</x:v>
      </x:c>
      <x:c r="G22" t="n">
        <x:v>13</x:v>
      </x:c>
      <x:c r="H22" t="n">
        <x:v>150</x:v>
      </x:c>
      <x:c r="I22" s="34" t="n">
        <x:f>E22*F22*G22</x:f>
        <x:v>325</x:v>
      </x:c>
      <x:c r="J22" s="34" t="n">
        <x:f>D22*I22</x:f>
        <x:v>325</x:v>
      </x:c>
      <x:c r="K22" t="str">
        <x:v>데모 데이터; 실제 실측 아님</x:v>
      </x:c>
    </x:row>
    <x:row r="23" ht="23" customHeight="1">
      <x:c r="A23" t="str">
        <x:v>S02</x:v>
      </x:c>
      <x:c r="B23" t="str">
        <x:v>PRESET_039</x:v>
      </x:c>
      <x:c r="C23" t="str">
        <x:v>선크림</x:v>
      </x:c>
      <x:c r="D23" t="n">
        <x:v>1</x:v>
      </x:c>
      <x:c r="E23" t="n">
        <x:v>5</x:v>
      </x:c>
      <x:c r="F23" t="n">
        <x:v>4</x:v>
      </x:c>
      <x:c r="G23" t="n">
        <x:v>12</x:v>
      </x:c>
      <x:c r="H23" t="n">
        <x:v>110</x:v>
      </x:c>
      <x:c r="I23" s="34" t="n">
        <x:f>E23*F23*G23</x:f>
        <x:v>240</x:v>
      </x:c>
      <x:c r="J23" s="34" t="n">
        <x:f>D23*I23</x:f>
        <x:v>240</x:v>
      </x:c>
      <x:c r="K23" t="str">
        <x:v>데모 데이터; 실제 실측 아님</x:v>
      </x:c>
    </x:row>
    <x:row r="24" ht="23" customHeight="1">
      <x:c r="A24" t="str">
        <x:v>S02</x:v>
      </x:c>
      <x:c r="B24" t="str">
        <x:v>PRESET_020</x:v>
      </x:c>
      <x:c r="C24" t="str">
        <x:v>일반 수건</x:v>
      </x:c>
      <x:c r="D24" t="n">
        <x:v>1</x:v>
      </x:c>
      <x:c r="E24" t="n">
        <x:v>28</x:v>
      </x:c>
      <x:c r="F24" t="n">
        <x:v>18</x:v>
      </x:c>
      <x:c r="G24" t="n">
        <x:v>6</x:v>
      </x:c>
      <x:c r="H24" t="n">
        <x:v>300</x:v>
      </x:c>
      <x:c r="I24" s="34" t="n">
        <x:f>E24*F24*G24</x:f>
        <x:v>3024</x:v>
      </x:c>
      <x:c r="J24" s="34" t="n">
        <x:f>D24*I24</x:f>
        <x:v>3024</x:v>
      </x:c>
      <x:c r="K24" t="str">
        <x:v>데모 데이터; 실제 실측 아님</x:v>
      </x:c>
    </x:row>
    <x:row r="25" ht="23" customHeight="1">
      <x:c r="A25" t="str">
        <x:v>S02</x:v>
      </x:c>
      <x:c r="B25" t="str">
        <x:v>PRESET_061</x:v>
      </x:c>
      <x:c r="C25" t="str">
        <x:v>세탁물 파우치</x:v>
      </x:c>
      <x:c r="D25" t="n">
        <x:v>1</x:v>
      </x:c>
      <x:c r="E25" t="n">
        <x:v>25</x:v>
      </x:c>
      <x:c r="F25" t="n">
        <x:v>18</x:v>
      </x:c>
      <x:c r="G25" t="n">
        <x:v>2</x:v>
      </x:c>
      <x:c r="H25" t="n">
        <x:v>100</x:v>
      </x:c>
      <x:c r="I25" s="34" t="n">
        <x:f>E25*F25*G25</x:f>
        <x:v>900</x:v>
      </x:c>
      <x:c r="J25" s="34" t="n">
        <x:f>D25*I25</x:f>
        <x:v>900</x:v>
      </x:c>
      <x:c r="K25" t="str">
        <x:v>데모 데이터; 실제 실측 아님</x:v>
      </x:c>
    </x:row>
    <x:row r="26" ht="23" customHeight="1">
      <x:c r="A26" t="str">
        <x:v>S02</x:v>
      </x:c>
      <x:c r="B26" t="str">
        <x:v>PRESET_067</x:v>
      </x:c>
      <x:c r="C26" t="str">
        <x:v>과자 선물 상자</x:v>
      </x:c>
      <x:c r="D26" t="n">
        <x:v>3</x:v>
      </x:c>
      <x:c r="E26" t="n">
        <x:v>25</x:v>
      </x:c>
      <x:c r="F26" t="n">
        <x:v>18</x:v>
      </x:c>
      <x:c r="G26" t="n">
        <x:v>8</x:v>
      </x:c>
      <x:c r="H26" t="n">
        <x:v>420</x:v>
      </x:c>
      <x:c r="I26" s="34" t="n">
        <x:f>E26*F26*G26</x:f>
        <x:v>3600</x:v>
      </x:c>
      <x:c r="J26" s="34" t="n">
        <x:f>D26*I26</x:f>
        <x:v>10800</x:v>
      </x:c>
      <x:c r="K26" t="str">
        <x:v>데모 데이터; 실제 실측 아님</x:v>
      </x:c>
    </x:row>
    <x:row r="27" ht="23" customHeight="1">
      <x:c r="A27" t="str">
        <x:v>S02</x:v>
      </x:c>
      <x:c r="B27" t="str">
        <x:v>PRESET_069</x:v>
      </x:c>
      <x:c r="C27" t="str">
        <x:v>머그컵 선물상자</x:v>
      </x:c>
      <x:c r="D27" t="n">
        <x:v>2</x:v>
      </x:c>
      <x:c r="E27" t="n">
        <x:v>16</x:v>
      </x:c>
      <x:c r="F27" t="n">
        <x:v>16</x:v>
      </x:c>
      <x:c r="G27" t="n">
        <x:v>16</x:v>
      </x:c>
      <x:c r="H27" t="n">
        <x:v>430</x:v>
      </x:c>
      <x:c r="I27" s="34" t="n">
        <x:f>E27*F27*G27</x:f>
        <x:v>4096</x:v>
      </x:c>
      <x:c r="J27" s="34" t="n">
        <x:f>D27*I27</x:f>
        <x:v>8192</x:v>
      </x:c>
      <x:c r="K27" t="str">
        <x:v>데모 데이터; 실제 실측 아님</x:v>
      </x:c>
    </x:row>
    <x:row r="28" ht="23" customHeight="1">
      <x:c r="A28" t="str">
        <x:v>S02</x:v>
      </x:c>
      <x:c r="B28" t="str">
        <x:v>PRESET_070</x:v>
      </x:c>
      <x:c r="C28" t="str">
        <x:v>유리컵 선물상자</x:v>
      </x:c>
      <x:c r="D28" t="n">
        <x:v>1</x:v>
      </x:c>
      <x:c r="E28" t="n">
        <x:v>14</x:v>
      </x:c>
      <x:c r="F28" t="n">
        <x:v>14</x:v>
      </x:c>
      <x:c r="G28" t="n">
        <x:v>18</x:v>
      </x:c>
      <x:c r="H28" t="n">
        <x:v>500</x:v>
      </x:c>
      <x:c r="I28" s="34" t="n">
        <x:f>E28*F28*G28</x:f>
        <x:v>3528</x:v>
      </x:c>
      <x:c r="J28" s="34" t="n">
        <x:f>D28*I28</x:f>
        <x:v>3528</x:v>
      </x:c>
      <x:c r="K28" t="str">
        <x:v>데모 데이터; 실제 실측 아님</x:v>
      </x:c>
    </x:row>
    <x:row r="29" ht="23" customHeight="1">
      <x:c r="A29" t="str">
        <x:v>S02</x:v>
      </x:c>
      <x:c r="B29" t="str">
        <x:v>PRESET_073</x:v>
      </x:c>
      <x:c r="C29" t="str">
        <x:v>기념 티셔츠</x:v>
      </x:c>
      <x:c r="D29" t="n">
        <x:v>2</x:v>
      </x:c>
      <x:c r="E29" t="n">
        <x:v>25</x:v>
      </x:c>
      <x:c r="F29" t="n">
        <x:v>20</x:v>
      </x:c>
      <x:c r="G29" t="n">
        <x:v>3</x:v>
      </x:c>
      <x:c r="H29" t="n">
        <x:v>200</x:v>
      </x:c>
      <x:c r="I29" s="34" t="n">
        <x:f>E29*F29*G29</x:f>
        <x:v>1500</x:v>
      </x:c>
      <x:c r="J29" s="34" t="n">
        <x:f>D29*I29</x:f>
        <x:v>3000</x:v>
      </x:c>
      <x:c r="K29" t="str">
        <x:v>데모 데이터; 실제 실측 아님</x:v>
      </x:c>
    </x:row>
    <x:row r="30" ht="23" customHeight="1">
      <x:c r="A30" t="str">
        <x:v>S02</x:v>
      </x:c>
      <x:c r="B30" t="str">
        <x:v>PRESET_071</x:v>
      </x:c>
      <x:c r="C30" t="str">
        <x:v>피규어 상자</x:v>
      </x:c>
      <x:c r="D30" t="n">
        <x:v>2</x:v>
      </x:c>
      <x:c r="E30" t="n">
        <x:v>22</x:v>
      </x:c>
      <x:c r="F30" t="n">
        <x:v>16</x:v>
      </x:c>
      <x:c r="G30" t="n">
        <x:v>13</x:v>
      </x:c>
      <x:c r="H30" t="n">
        <x:v>330</x:v>
      </x:c>
      <x:c r="I30" s="34" t="n">
        <x:f>E30*F30*G30</x:f>
        <x:v>4576</x:v>
      </x:c>
      <x:c r="J30" s="34" t="n">
        <x:f>D30*I30</x:f>
        <x:v>9152</x:v>
      </x:c>
      <x:c r="K30" t="str">
        <x:v>데모 데이터; 실제 실측 아님</x:v>
      </x:c>
    </x:row>
    <x:row r="31" ht="23" customHeight="1">
      <x:c r="A31" t="str">
        <x:v>S03</x:v>
      </x:c>
      <x:c r="B31" t="str">
        <x:v>PRESET_001</x:v>
      </x:c>
      <x:c r="C31" t="str">
        <x:v>티셔츠</x:v>
      </x:c>
      <x:c r="D31" t="n">
        <x:v>6</x:v>
      </x:c>
      <x:c r="E31" t="n">
        <x:v>25</x:v>
      </x:c>
      <x:c r="F31" t="n">
        <x:v>20</x:v>
      </x:c>
      <x:c r="G31" t="n">
        <x:v>3</x:v>
      </x:c>
      <x:c r="H31" t="n">
        <x:v>200</x:v>
      </x:c>
      <x:c r="I31" s="34" t="n">
        <x:f>E31*F31*G31</x:f>
        <x:v>1500</x:v>
      </x:c>
      <x:c r="J31" s="34" t="n">
        <x:f>D31*I31</x:f>
        <x:v>9000</x:v>
      </x:c>
      <x:c r="K31" t="str">
        <x:v>데모 데이터; 실제 실측 아님</x:v>
      </x:c>
    </x:row>
    <x:row r="32" ht="23" customHeight="1">
      <x:c r="A32" t="str">
        <x:v>S03</x:v>
      </x:c>
      <x:c r="B32" t="str">
        <x:v>PRESET_005</x:v>
      </x:c>
      <x:c r="C32" t="str">
        <x:v>청바지</x:v>
      </x:c>
      <x:c r="D32" t="n">
        <x:v>1</x:v>
      </x:c>
      <x:c r="E32" t="n">
        <x:v>30</x:v>
      </x:c>
      <x:c r="F32" t="n">
        <x:v>25</x:v>
      </x:c>
      <x:c r="G32" t="n">
        <x:v>6</x:v>
      </x:c>
      <x:c r="H32" t="n">
        <x:v>750</x:v>
      </x:c>
      <x:c r="I32" s="34" t="n">
        <x:f>E32*F32*G32</x:f>
        <x:v>4500</x:v>
      </x:c>
      <x:c r="J32" s="34" t="n">
        <x:f>D32*I32</x:f>
        <x:v>4500</x:v>
      </x:c>
      <x:c r="K32" t="str">
        <x:v>데모 데이터; 실제 실측 아님</x:v>
      </x:c>
    </x:row>
    <x:row r="33" ht="23" customHeight="1">
      <x:c r="A33" t="str">
        <x:v>S03</x:v>
      </x:c>
      <x:c r="B33" t="str">
        <x:v>PRESET_006</x:v>
      </x:c>
      <x:c r="C33" t="str">
        <x:v>면바지</x:v>
      </x:c>
      <x:c r="D33" t="n">
        <x:v>1</x:v>
      </x:c>
      <x:c r="E33" t="n">
        <x:v>30</x:v>
      </x:c>
      <x:c r="F33" t="n">
        <x:v>24</x:v>
      </x:c>
      <x:c r="G33" t="n">
        <x:v>5</x:v>
      </x:c>
      <x:c r="H33" t="n">
        <x:v>500</x:v>
      </x:c>
      <x:c r="I33" s="34" t="n">
        <x:f>E33*F33*G33</x:f>
        <x:v>3600</x:v>
      </x:c>
      <x:c r="J33" s="34" t="n">
        <x:f>D33*I33</x:f>
        <x:v>3600</x:v>
      </x:c>
      <x:c r="K33" t="str">
        <x:v>데모 데이터; 실제 실측 아님</x:v>
      </x:c>
    </x:row>
    <x:row r="34" ht="23" customHeight="1">
      <x:c r="A34" t="str">
        <x:v>S03</x:v>
      </x:c>
      <x:c r="B34" t="str">
        <x:v>PRESET_002</x:v>
      </x:c>
      <x:c r="C34" t="str">
        <x:v>긴팔 티셔츠</x:v>
      </x:c>
      <x:c r="D34" t="n">
        <x:v>2</x:v>
      </x:c>
      <x:c r="E34" t="n">
        <x:v>27</x:v>
      </x:c>
      <x:c r="F34" t="n">
        <x:v>21</x:v>
      </x:c>
      <x:c r="G34" t="n">
        <x:v>4</x:v>
      </x:c>
      <x:c r="H34" t="n">
        <x:v>270</x:v>
      </x:c>
      <x:c r="I34" s="34" t="n">
        <x:f>E34*F34*G34</x:f>
        <x:v>2268</x:v>
      </x:c>
      <x:c r="J34" s="34" t="n">
        <x:f>D34*I34</x:f>
        <x:v>4536</x:v>
      </x:c>
      <x:c r="K34" t="str">
        <x:v>데모 데이터; 실제 실측 아님</x:v>
      </x:c>
    </x:row>
    <x:row r="35" ht="23" customHeight="1">
      <x:c r="A35" t="str">
        <x:v>S03</x:v>
      </x:c>
      <x:c r="B35" t="str">
        <x:v>PRESET_011</x:v>
      </x:c>
      <x:c r="C35" t="str">
        <x:v>후드티</x:v>
      </x:c>
      <x:c r="D35" t="n">
        <x:v>1</x:v>
      </x:c>
      <x:c r="E35" t="n">
        <x:v>32</x:v>
      </x:c>
      <x:c r="F35" t="n">
        <x:v>28</x:v>
      </x:c>
      <x:c r="G35" t="n">
        <x:v>9</x:v>
      </x:c>
      <x:c r="H35" t="n">
        <x:v>750</x:v>
      </x:c>
      <x:c r="I35" s="34" t="n">
        <x:f>E35*F35*G35</x:f>
        <x:v>8064</x:v>
      </x:c>
      <x:c r="J35" s="34" t="n">
        <x:f>D35*I35</x:f>
        <x:v>8064</x:v>
      </x:c>
      <x:c r="K35" t="str">
        <x:v>데모 데이터; 실제 실측 아님</x:v>
      </x:c>
    </x:row>
    <x:row r="36" ht="23" customHeight="1">
      <x:c r="A36" t="str">
        <x:v>S03</x:v>
      </x:c>
      <x:c r="B36" t="str">
        <x:v>PRESET_017</x:v>
      </x:c>
      <x:c r="C36" t="str">
        <x:v>속옷 1개</x:v>
      </x:c>
      <x:c r="D36" t="n">
        <x:v>7</x:v>
      </x:c>
      <x:c r="E36" t="n">
        <x:v>15</x:v>
      </x:c>
      <x:c r="F36" t="n">
        <x:v>12</x:v>
      </x:c>
      <x:c r="G36" t="n">
        <x:v>2</x:v>
      </x:c>
      <x:c r="H36" t="n">
        <x:v>70</x:v>
      </x:c>
      <x:c r="I36" s="34" t="n">
        <x:f>E36*F36*G36</x:f>
        <x:v>360</x:v>
      </x:c>
      <x:c r="J36" s="34" t="n">
        <x:f>D36*I36</x:f>
        <x:v>2520</x:v>
      </x:c>
      <x:c r="K36" t="str">
        <x:v>데모 데이터; 실제 실측 아님</x:v>
      </x:c>
    </x:row>
    <x:row r="37" ht="23" customHeight="1">
      <x:c r="A37" t="str">
        <x:v>S03</x:v>
      </x:c>
      <x:c r="B37" t="str">
        <x:v>PRESET_018</x:v>
      </x:c>
      <x:c r="C37" t="str">
        <x:v>양말 1켤레</x:v>
      </x:c>
      <x:c r="D37" t="n">
        <x:v>7</x:v>
      </x:c>
      <x:c r="E37" t="n">
        <x:v>12</x:v>
      </x:c>
      <x:c r="F37" t="n">
        <x:v>9</x:v>
      </x:c>
      <x:c r="G37" t="n">
        <x:v>4</x:v>
      </x:c>
      <x:c r="H37" t="n">
        <x:v>60</x:v>
      </x:c>
      <x:c r="I37" s="34" t="n">
        <x:f>E37*F37*G37</x:f>
        <x:v>432</x:v>
      </x:c>
      <x:c r="J37" s="34" t="n">
        <x:f>D37*I37</x:f>
        <x:v>3024</x:v>
      </x:c>
      <x:c r="K37" t="str">
        <x:v>데모 데이터; 실제 실측 아님</x:v>
      </x:c>
    </x:row>
    <x:row r="38" ht="23" customHeight="1">
      <x:c r="A38" t="str">
        <x:v>S03</x:v>
      </x:c>
      <x:c r="B38" t="str">
        <x:v>PRESET_026</x:v>
      </x:c>
      <x:c r="C38" t="str">
        <x:v>운동화 한 켤레</x:v>
      </x:c>
      <x:c r="D38" t="n">
        <x:v>1</x:v>
      </x:c>
      <x:c r="E38" t="n">
        <x:v>34</x:v>
      </x:c>
      <x:c r="F38" t="n">
        <x:v>23</x:v>
      </x:c>
      <x:c r="G38" t="n">
        <x:v>13</x:v>
      </x:c>
      <x:c r="H38" t="n">
        <x:v>800</x:v>
      </x:c>
      <x:c r="I38" s="34" t="n">
        <x:f>E38*F38*G38</x:f>
        <x:v>10166</x:v>
      </x:c>
      <x:c r="J38" s="34" t="n">
        <x:f>D38*I38</x:f>
        <x:v>10166</x:v>
      </x:c>
      <x:c r="K38" t="str">
        <x:v>데모 데이터; 실제 실측 아님</x:v>
      </x:c>
    </x:row>
    <x:row r="39" ht="23" customHeight="1">
      <x:c r="A39" t="str">
        <x:v>S03</x:v>
      </x:c>
      <x:c r="B39" t="str">
        <x:v>PRESET_029</x:v>
      </x:c>
      <x:c r="C39" t="str">
        <x:v>슬리퍼 한 켤레</x:v>
      </x:c>
      <x:c r="D39" t="n">
        <x:v>1</x:v>
      </x:c>
      <x:c r="E39" t="n">
        <x:v>28</x:v>
      </x:c>
      <x:c r="F39" t="n">
        <x:v>20</x:v>
      </x:c>
      <x:c r="G39" t="n">
        <x:v>6</x:v>
      </x:c>
      <x:c r="H39" t="n">
        <x:v>250</x:v>
      </x:c>
      <x:c r="I39" s="34" t="n">
        <x:f>E39*F39*G39</x:f>
        <x:v>3360</x:v>
      </x:c>
      <x:c r="J39" s="34" t="n">
        <x:f>D39*I39</x:f>
        <x:v>3360</x:v>
      </x:c>
      <x:c r="K39" t="str">
        <x:v>데모 데이터; 실제 실측 아님</x:v>
      </x:c>
    </x:row>
    <x:row r="40" ht="23" customHeight="1">
      <x:c r="A40" t="str">
        <x:v>S03</x:v>
      </x:c>
      <x:c r="B40" t="str">
        <x:v>PRESET_016</x:v>
      </x:c>
      <x:c r="C40" t="str">
        <x:v>잠옷 세트</x:v>
      </x:c>
      <x:c r="D40" t="n">
        <x:v>1</x:v>
      </x:c>
      <x:c r="E40" t="n">
        <x:v>27</x:v>
      </x:c>
      <x:c r="F40" t="n">
        <x:v>23</x:v>
      </x:c>
      <x:c r="G40" t="n">
        <x:v>5</x:v>
      </x:c>
      <x:c r="H40" t="n">
        <x:v>380</x:v>
      </x:c>
      <x:c r="I40" s="34" t="n">
        <x:f>E40*F40*G40</x:f>
        <x:v>3105</x:v>
      </x:c>
      <x:c r="J40" s="34" t="n">
        <x:f>D40*I40</x:f>
        <x:v>3105</x:v>
      </x:c>
      <x:c r="K40" t="str">
        <x:v>데모 데이터; 실제 실측 아님</x:v>
      </x:c>
    </x:row>
    <x:row r="41" ht="23" customHeight="1">
      <x:c r="A41" t="str">
        <x:v>S03</x:v>
      </x:c>
      <x:c r="B41" t="str">
        <x:v>PRESET_020</x:v>
      </x:c>
      <x:c r="C41" t="str">
        <x:v>일반 수건</x:v>
      </x:c>
      <x:c r="D41" t="n">
        <x:v>1</x:v>
      </x:c>
      <x:c r="E41" t="n">
        <x:v>28</x:v>
      </x:c>
      <x:c r="F41" t="n">
        <x:v>18</x:v>
      </x:c>
      <x:c r="G41" t="n">
        <x:v>6</x:v>
      </x:c>
      <x:c r="H41" t="n">
        <x:v>300</x:v>
      </x:c>
      <x:c r="I41" s="34" t="n">
        <x:f>E41*F41*G41</x:f>
        <x:v>3024</x:v>
      </x:c>
      <x:c r="J41" s="34" t="n">
        <x:f>D41*I41</x:f>
        <x:v>3024</x:v>
      </x:c>
      <x:c r="K41" t="str">
        <x:v>데모 데이터; 실제 실측 아님</x:v>
      </x:c>
    </x:row>
    <x:row r="42" ht="23" customHeight="1">
      <x:c r="A42" t="str">
        <x:v>S03</x:v>
      </x:c>
      <x:c r="B42" t="str">
        <x:v>PRESET_040</x:v>
      </x:c>
      <x:c r="C42" t="str">
        <x:v>메이크업 파우치</x:v>
      </x:c>
      <x:c r="D42" t="n">
        <x:v>1</x:v>
      </x:c>
      <x:c r="E42" t="n">
        <x:v>24</x:v>
      </x:c>
      <x:c r="F42" t="n">
        <x:v>15</x:v>
      </x:c>
      <x:c r="G42" t="n">
        <x:v>8</x:v>
      </x:c>
      <x:c r="H42" t="n">
        <x:v>450</x:v>
      </x:c>
      <x:c r="I42" s="34" t="n">
        <x:f>E42*F42*G42</x:f>
        <x:v>2880</x:v>
      </x:c>
      <x:c r="J42" s="34" t="n">
        <x:f>D42*I42</x:f>
        <x:v>2880</x:v>
      </x:c>
      <x:c r="K42" t="str">
        <x:v>데모 데이터; 실제 실측 아님</x:v>
      </x:c>
    </x:row>
    <x:row r="43" ht="23" customHeight="1">
      <x:c r="A43" t="str">
        <x:v>S03</x:v>
      </x:c>
      <x:c r="B43" t="str">
        <x:v>PRESET_032</x:v>
      </x:c>
      <x:c r="C43" t="str">
        <x:v>여행용 샴푸</x:v>
      </x:c>
      <x:c r="D43" t="n">
        <x:v>1</x:v>
      </x:c>
      <x:c r="E43" t="n">
        <x:v>5</x:v>
      </x:c>
      <x:c r="F43" t="n">
        <x:v>5</x:v>
      </x:c>
      <x:c r="G43" t="n">
        <x:v>13</x:v>
      </x:c>
      <x:c r="H43" t="n">
        <x:v>150</x:v>
      </x:c>
      <x:c r="I43" s="34" t="n">
        <x:f>E43*F43*G43</x:f>
        <x:v>325</x:v>
      </x:c>
      <x:c r="J43" s="34" t="n">
        <x:f>D43*I43</x:f>
        <x:v>325</x:v>
      </x:c>
      <x:c r="K43" t="str">
        <x:v>데모 데이터; 실제 실측 아님</x:v>
      </x:c>
    </x:row>
    <x:row r="44" ht="23" customHeight="1">
      <x:c r="A44" t="str">
        <x:v>S03</x:v>
      </x:c>
      <x:c r="B44" t="str">
        <x:v>PRESET_046</x:v>
      </x:c>
      <x:c r="C44" t="str">
        <x:v>노트북 13인치</x:v>
      </x:c>
      <x:c r="D44" t="n">
        <x:v>1</x:v>
      </x:c>
      <x:c r="E44" t="n">
        <x:v>34</x:v>
      </x:c>
      <x:c r="F44" t="n">
        <x:v>25</x:v>
      </x:c>
      <x:c r="G44" t="n">
        <x:v>3</x:v>
      </x:c>
      <x:c r="H44" t="n">
        <x:v>1500</x:v>
      </x:c>
      <x:c r="I44" s="34" t="n">
        <x:f>E44*F44*G44</x:f>
        <x:v>2550</x:v>
      </x:c>
      <x:c r="J44" s="34" t="n">
        <x:f>D44*I44</x:f>
        <x:v>2550</x:v>
      </x:c>
      <x:c r="K44" t="str">
        <x:v>데모 데이터; 실제 실측 아님</x:v>
      </x:c>
    </x:row>
    <x:row r="45" ht="23" customHeight="1">
      <x:c r="A45" t="str">
        <x:v>S03</x:v>
      </x:c>
      <x:c r="B45" t="str">
        <x:v>PRESET_051</x:v>
      </x:c>
      <x:c r="C45" t="str">
        <x:v>충전기+케이블</x:v>
      </x:c>
      <x:c r="D45" t="n">
        <x:v>1</x:v>
      </x:c>
      <x:c r="E45" t="n">
        <x:v>12</x:v>
      </x:c>
      <x:c r="F45" t="n">
        <x:v>8</x:v>
      </x:c>
      <x:c r="G45" t="n">
        <x:v>5</x:v>
      </x:c>
      <x:c r="H45" t="n">
        <x:v>180</x:v>
      </x:c>
      <x:c r="I45" s="34" t="n">
        <x:f>E45*F45*G45</x:f>
        <x:v>480</x:v>
      </x:c>
      <x:c r="J45" s="34" t="n">
        <x:f>D45*I45</x:f>
        <x:v>480</x:v>
      </x:c>
      <x:c r="K45" t="str">
        <x:v>데모 데이터; 실제 실측 아님</x:v>
      </x:c>
    </x:row>
    <x:row r="46" ht="23" customHeight="1">
      <x:c r="A46" t="str">
        <x:v>S03</x:v>
      </x:c>
      <x:c r="B46" t="str">
        <x:v>PRESET_069</x:v>
      </x:c>
      <x:c r="C46" t="str">
        <x:v>머그컵 선물상자</x:v>
      </x:c>
      <x:c r="D46" t="n">
        <x:v>1</x:v>
      </x:c>
      <x:c r="E46" t="n">
        <x:v>16</x:v>
      </x:c>
      <x:c r="F46" t="n">
        <x:v>16</x:v>
      </x:c>
      <x:c r="G46" t="n">
        <x:v>16</x:v>
      </x:c>
      <x:c r="H46" t="n">
        <x:v>430</x:v>
      </x:c>
      <x:c r="I46" s="34" t="n">
        <x:f>E46*F46*G46</x:f>
        <x:v>4096</x:v>
      </x:c>
      <x:c r="J46" s="34" t="n">
        <x:f>D46*I46</x:f>
        <x:v>4096</x:v>
      </x:c>
      <x:c r="K46" t="str">
        <x:v>데모 데이터; 실제 실측 아님</x:v>
      </x:c>
    </x:row>
    <x:row r="47" ht="23" customHeight="1">
      <x:c r="A47" t="str">
        <x:v>S04</x:v>
      </x:c>
      <x:c r="B47" t="str">
        <x:v>PRESET_001</x:v>
      </x:c>
      <x:c r="C47" t="str">
        <x:v>티셔츠</x:v>
      </x:c>
      <x:c r="D47" t="n">
        <x:v>2</x:v>
      </x:c>
      <x:c r="E47" t="n">
        <x:v>25</x:v>
      </x:c>
      <x:c r="F47" t="n">
        <x:v>20</x:v>
      </x:c>
      <x:c r="G47" t="n">
        <x:v>3</x:v>
      </x:c>
      <x:c r="H47" t="n">
        <x:v>200</x:v>
      </x:c>
      <x:c r="I47" s="34" t="n">
        <x:f>E47*F47*G47</x:f>
        <x:v>1500</x:v>
      </x:c>
      <x:c r="J47" s="34" t="n">
        <x:f>D47*I47</x:f>
        <x:v>3000</x:v>
      </x:c>
      <x:c r="K47" t="str">
        <x:v>데모 데이터; 실제 실측 아님</x:v>
      </x:c>
    </x:row>
    <x:row r="48" ht="23" customHeight="1">
      <x:c r="A48" t="str">
        <x:v>S04</x:v>
      </x:c>
      <x:c r="B48" t="str">
        <x:v>PRESET_018</x:v>
      </x:c>
      <x:c r="C48" t="str">
        <x:v>양말 1켤레</x:v>
      </x:c>
      <x:c r="D48" t="n">
        <x:v>2</x:v>
      </x:c>
      <x:c r="E48" t="n">
        <x:v>12</x:v>
      </x:c>
      <x:c r="F48" t="n">
        <x:v>9</x:v>
      </x:c>
      <x:c r="G48" t="n">
        <x:v>4</x:v>
      </x:c>
      <x:c r="H48" t="n">
        <x:v>60</x:v>
      </x:c>
      <x:c r="I48" s="34" t="n">
        <x:f>E48*F48*G48</x:f>
        <x:v>432</x:v>
      </x:c>
      <x:c r="J48" s="34" t="n">
        <x:f>D48*I48</x:f>
        <x:v>864</x:v>
      </x:c>
      <x:c r="K48" t="str">
        <x:v>데모 데이터; 실제 실측 아님</x:v>
      </x:c>
    </x:row>
    <x:row r="49" ht="23" customHeight="1">
      <x:c r="A49" t="str">
        <x:v>S04</x:v>
      </x:c>
      <x:c r="B49" t="str">
        <x:v>PRESET_066</x:v>
      </x:c>
      <x:c r="C49" t="str">
        <x:v>긴 포스터 튜브</x:v>
      </x:c>
      <x:c r="D49" t="n">
        <x:v>1</x:v>
      </x:c>
      <x:c r="E49" t="n">
        <x:v>58</x:v>
      </x:c>
      <x:c r="F49" t="n">
        <x:v>9</x:v>
      </x:c>
      <x:c r="G49" t="n">
        <x:v>9</x:v>
      </x:c>
      <x:c r="H49" t="n">
        <x:v>480</x:v>
      </x:c>
      <x:c r="I49" s="34" t="n">
        <x:f>E49*F49*G49</x:f>
        <x:v>4698</x:v>
      </x:c>
      <x:c r="J49" s="34" t="n">
        <x:f>D49*I49</x:f>
        <x:v>4698</x:v>
      </x:c>
      <x:c r="K49" t="str">
        <x:v>데모 데이터; 실제 실측 아님</x:v>
      </x:c>
    </x:row>
    <x:row r="50" ht="23" customHeight="1">
      <x:c r="A50" t="str">
        <x:v>S04</x:v>
      </x:c>
      <x:c r="B50" t="str">
        <x:v>PRESET_051</x:v>
      </x:c>
      <x:c r="C50" t="str">
        <x:v>충전기+케이블</x:v>
      </x:c>
      <x:c r="D50" t="n">
        <x:v>1</x:v>
      </x:c>
      <x:c r="E50" t="n">
        <x:v>12</x:v>
      </x:c>
      <x:c r="F50" t="n">
        <x:v>8</x:v>
      </x:c>
      <x:c r="G50" t="n">
        <x:v>5</x:v>
      </x:c>
      <x:c r="H50" t="n">
        <x:v>180</x:v>
      </x:c>
      <x:c r="I50" s="34" t="n">
        <x:f>E50*F50*G50</x:f>
        <x:v>480</x:v>
      </x:c>
      <x:c r="J50" s="34" t="n">
        <x:f>D50*I50</x:f>
        <x:v>480</x:v>
      </x:c>
      <x:c r="K50" t="str">
        <x:v>데모 데이터; 실제 실측 아님</x:v>
      </x:c>
    </x:row>
  </x:sheetData>
  <x:pageMargins left="0.7" right="0.7" top="0.75" bottom="0.75" header="0.3" footer="0.3"/>
  <x:tableParts count="1">
    <x:tablePart xmlns:r="http://schemas.openxmlformats.org/officeDocument/2006/relationships" r:id="Red02ad9e55d3446a"/>
  </x:tableParts>
</x:worksheet>
</file>